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go/Documents/tools/postpro/WRF_CMORizer_my_dev_with_git/"/>
    </mc:Choice>
  </mc:AlternateContent>
  <xr:revisionPtr revIDLastSave="0" documentId="13_ncr:1_{D2A7FA7E-8A6D-3041-A786-D4B23B3F5723}" xr6:coauthVersionLast="47" xr6:coauthVersionMax="47" xr10:uidLastSave="{00000000-0000-0000-0000-000000000000}"/>
  <bookViews>
    <workbookView xWindow="0" yWindow="740" windowWidth="29400" windowHeight="18380" tabRatio="500" activeTab="1" xr2:uid="{00000000-000D-0000-FFFF-FFFF00000000}"/>
  </bookViews>
  <sheets>
    <sheet name="Core" sheetId="4" r:id="rId1"/>
    <sheet name="Tier-1" sheetId="1" r:id="rId2"/>
    <sheet name="Global  Attributes" sheetId="2" r:id="rId3"/>
    <sheet name="CV" sheetId="3" r:id="rId4"/>
  </sheets>
  <externalReferences>
    <externalReference r:id="rId5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" i="3" l="1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tc={0684425E-DB31-4147-970E-869B2126AB53}</author>
    <author>tc={9AA36D04-5035-B645-870C-1A69F53AA0AF}</author>
  </authors>
  <commentList>
    <comment ref="T67" authorId="0" shapeId="0" xr:uid="{0684425E-DB31-4147-970E-869B2126AB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time: point at 1hr
</t>
      </text>
    </comment>
    <comment ref="T68" authorId="1" shapeId="0" xr:uid="{9AA36D04-5035-B645-870C-1A69F53AA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time: point at 1hr</t>
      </text>
    </comment>
  </commentList>
</comments>
</file>

<file path=xl/sharedStrings.xml><?xml version="1.0" encoding="utf-8"?>
<sst xmlns="http://schemas.openxmlformats.org/spreadsheetml/2006/main" count="1533" uniqueCount="630">
  <si>
    <t>1-hourly output (1hr)</t>
  </si>
  <si>
    <t>3-hourly output (3hr)</t>
  </si>
  <si>
    <t>6-hourly output (6hr)</t>
  </si>
  <si>
    <t>Daily output (day)</t>
  </si>
  <si>
    <t>output variable name</t>
  </si>
  <si>
    <t>tas</t>
  </si>
  <si>
    <t>Near-Surface Air Temperature</t>
  </si>
  <si>
    <t>x</t>
  </si>
  <si>
    <t>ts</t>
  </si>
  <si>
    <t>Surface Temperature</t>
  </si>
  <si>
    <t>pr</t>
  </si>
  <si>
    <t>Precipitation</t>
  </si>
  <si>
    <t xml:space="preserve"> </t>
  </si>
  <si>
    <t>uas</t>
  </si>
  <si>
    <t>Eastward Near-Surface Wind</t>
  </si>
  <si>
    <t>ua1000</t>
  </si>
  <si>
    <t>Eastward Wind</t>
  </si>
  <si>
    <t>ua850</t>
  </si>
  <si>
    <t>ua700</t>
  </si>
  <si>
    <t>ua500</t>
  </si>
  <si>
    <t>ua200</t>
  </si>
  <si>
    <t>vas</t>
  </si>
  <si>
    <t>Northward Near-Surface Wind</t>
  </si>
  <si>
    <t>va1000</t>
  </si>
  <si>
    <t>Northward Wind</t>
  </si>
  <si>
    <t>va850</t>
  </si>
  <si>
    <t>va700</t>
  </si>
  <si>
    <t>va500</t>
  </si>
  <si>
    <t>va200</t>
  </si>
  <si>
    <t>huss</t>
  </si>
  <si>
    <t>Near-Surface Specific Humidity</t>
  </si>
  <si>
    <t>hus1000</t>
  </si>
  <si>
    <t>Specific Humidity</t>
  </si>
  <si>
    <t>hus850</t>
  </si>
  <si>
    <t>hus700</t>
  </si>
  <si>
    <t>hus500</t>
  </si>
  <si>
    <t>hus200</t>
  </si>
  <si>
    <t>zg1000</t>
  </si>
  <si>
    <t>Geopotential Height</t>
  </si>
  <si>
    <t>zg850</t>
  </si>
  <si>
    <t>zg700</t>
  </si>
  <si>
    <t>zg500</t>
  </si>
  <si>
    <t>zg200</t>
  </si>
  <si>
    <t>ps</t>
  </si>
  <si>
    <t>Surface Air Pressure</t>
  </si>
  <si>
    <t>psl</t>
  </si>
  <si>
    <t>Sea Level Pressure</t>
  </si>
  <si>
    <t>rsds</t>
  </si>
  <si>
    <t>Surface Downwelling Shortwave Radiation</t>
  </si>
  <si>
    <t>rlds</t>
  </si>
  <si>
    <t>Surface Downwelling Longwave Radiation</t>
  </si>
  <si>
    <t>hfls</t>
  </si>
  <si>
    <t>Surface Upward Latent Heat Flux</t>
  </si>
  <si>
    <t>hfss</t>
  </si>
  <si>
    <t>Surface Upward Sensible Heat Flux</t>
  </si>
  <si>
    <t>rsus</t>
  </si>
  <si>
    <t>Surface Upwelling Shortwave Radiation</t>
  </si>
  <si>
    <t>rlus</t>
  </si>
  <si>
    <t>Surface Upwelling Longwave Radiation</t>
  </si>
  <si>
    <t>evspsbl</t>
  </si>
  <si>
    <t>Evaporation</t>
  </si>
  <si>
    <t>evspsblpot</t>
  </si>
  <si>
    <t>Potential Evapotranspiration</t>
  </si>
  <si>
    <t>clt</t>
  </si>
  <si>
    <t>total cloud fraction</t>
  </si>
  <si>
    <t>snc</t>
  </si>
  <si>
    <t>snow area fraction</t>
  </si>
  <si>
    <t>snd</t>
  </si>
  <si>
    <t>snow depth</t>
  </si>
  <si>
    <t>mrros</t>
  </si>
  <si>
    <t>Surface Runoff</t>
  </si>
  <si>
    <t>mrro</t>
  </si>
  <si>
    <t>Total Runoff</t>
  </si>
  <si>
    <t>mrso</t>
  </si>
  <si>
    <t>Total Soil Moisture Content</t>
  </si>
  <si>
    <t>CAPE</t>
  </si>
  <si>
    <t>CIN</t>
  </si>
  <si>
    <t>ta1000</t>
  </si>
  <si>
    <t>ta850</t>
  </si>
  <si>
    <t>ta700</t>
  </si>
  <si>
    <t>ta500</t>
  </si>
  <si>
    <t>ta200</t>
  </si>
  <si>
    <t>Standard Name</t>
  </si>
  <si>
    <t>Long Name</t>
  </si>
  <si>
    <t>Units</t>
  </si>
  <si>
    <t>ag</t>
  </si>
  <si>
    <t>Water Vapor Path</t>
  </si>
  <si>
    <t>atmosphere_water_vapor_content</t>
  </si>
  <si>
    <t>Condensed Water Path</t>
  </si>
  <si>
    <t>atmosphere_cloud_condensed_water_content</t>
  </si>
  <si>
    <t>Ice Water Path</t>
  </si>
  <si>
    <t>atmosphere_cloud_ice_content</t>
  </si>
  <si>
    <t>prw</t>
  </si>
  <si>
    <t>kg m-2</t>
  </si>
  <si>
    <t>clwvi</t>
  </si>
  <si>
    <t>clivi</t>
  </si>
  <si>
    <t>Notes</t>
  </si>
  <si>
    <t>Realm</t>
  </si>
  <si>
    <r>
      <t>a</t>
    </r>
    <r>
      <rPr>
        <sz val="12"/>
        <color theme="1"/>
        <rFont val="Calibri"/>
        <family val="2"/>
        <scheme val="minor"/>
      </rPr>
      <t xml:space="preserve"> The column specifies the direction of fluxes (redundantly with the standard:name); if given as a NetCDF attribute it must have the value as given here</t>
    </r>
  </si>
  <si>
    <r>
      <t>b</t>
    </r>
    <r>
      <rPr>
        <sz val="12"/>
        <color theme="1"/>
        <rFont val="Calibri"/>
        <family val="2"/>
        <scheme val="minor"/>
      </rPr>
      <t xml:space="preserve"> If given as a NetCDF attribute it must have the value as given here</t>
    </r>
  </si>
  <si>
    <r>
      <t>Cell Method: area (optional)</t>
    </r>
    <r>
      <rPr>
        <b/>
        <vertAlign val="superscript"/>
        <sz val="12"/>
        <color theme="1"/>
        <rFont val="Calibri"/>
        <family val="2"/>
        <scheme val="minor"/>
      </rPr>
      <t>b</t>
    </r>
  </si>
  <si>
    <t>i</t>
  </si>
  <si>
    <t>a</t>
  </si>
  <si>
    <r>
      <t>Direction of positive fluxes</t>
    </r>
    <r>
      <rPr>
        <b/>
        <vertAlign val="superscript"/>
        <sz val="12"/>
        <color theme="1"/>
        <rFont val="Calibri"/>
        <family val="2"/>
        <scheme val="minor"/>
      </rPr>
      <t>a</t>
    </r>
  </si>
  <si>
    <t>down</t>
  </si>
  <si>
    <t>"</t>
  </si>
  <si>
    <t>air_temperature</t>
  </si>
  <si>
    <t>K</t>
  </si>
  <si>
    <t>kg m-2 s-1</t>
  </si>
  <si>
    <t>precipitation_flux</t>
  </si>
  <si>
    <t>surface_temperature</t>
  </si>
  <si>
    <t>"skin" temperature (i.e., SST for open ocean)</t>
  </si>
  <si>
    <t>eastward_wind</t>
  </si>
  <si>
    <t>northward_wind</t>
  </si>
  <si>
    <t>m s-1</t>
  </si>
  <si>
    <t>atmos</t>
  </si>
  <si>
    <t>surface_snow_area_fraction</t>
  </si>
  <si>
    <t>surface_snow_thickness</t>
  </si>
  <si>
    <t>land landice</t>
  </si>
  <si>
    <t>land</t>
  </si>
  <si>
    <t>soil_moisture_content</t>
  </si>
  <si>
    <t>mean where land</t>
  </si>
  <si>
    <t>surface_downwelling_shortwave_flux_in_air</t>
  </si>
  <si>
    <t>surface_downwelling_longwave_flux_in_air</t>
  </si>
  <si>
    <t>surface_upward_latent_heat_flux</t>
  </si>
  <si>
    <t>surface_upward_sensible_heat_flux</t>
  </si>
  <si>
    <t>surface_upwelling_shortwave_flux_in_air</t>
  </si>
  <si>
    <t>surface_upwelling_longwave_flux_in_air</t>
  </si>
  <si>
    <t>up</t>
  </si>
  <si>
    <t>specific_humidity</t>
  </si>
  <si>
    <t>Air Temperature</t>
  </si>
  <si>
    <t>m</t>
  </si>
  <si>
    <t>geopotential_height</t>
  </si>
  <si>
    <t>Pa</t>
  </si>
  <si>
    <t>surface_air_pressure</t>
  </si>
  <si>
    <t>air_pressure_at_sea_level</t>
  </si>
  <si>
    <t>W m-2</t>
  </si>
  <si>
    <t>water_evaporation_flux</t>
  </si>
  <si>
    <t>water_potential_evaporation_flux</t>
  </si>
  <si>
    <t>cloud_area_fraction</t>
  </si>
  <si>
    <t>%</t>
  </si>
  <si>
    <t>surface_runoff_flux</t>
  </si>
  <si>
    <t>runoff_flux</t>
  </si>
  <si>
    <t>mrsofc</t>
  </si>
  <si>
    <t>tasmax</t>
  </si>
  <si>
    <t>tasmin</t>
  </si>
  <si>
    <t>Daily Maximum Near-Surface Air Temperature</t>
  </si>
  <si>
    <t>Daily Minimum Near-Surface Air Temperature</t>
  </si>
  <si>
    <t>Fixed fields</t>
  </si>
  <si>
    <t>Section A: NetCDF global attributes</t>
  </si>
  <si>
    <r>
      <t>CORDEX name as in ADD</t>
    </r>
    <r>
      <rPr>
        <vertAlign val="superscript"/>
        <sz val="10"/>
        <rFont val="Arial"/>
        <family val="2"/>
        <charset val="204"/>
      </rPr>
      <t>1</t>
    </r>
    <r>
      <rPr>
        <sz val="12"/>
        <color theme="1"/>
        <rFont val="Calibri"/>
        <family val="2"/>
        <scheme val="minor"/>
      </rPr>
      <t xml:space="preserve"> </t>
    </r>
  </si>
  <si>
    <r>
      <t>CMIP5</t>
    </r>
    <r>
      <rPr>
        <vertAlign val="superscript"/>
        <sz val="10"/>
        <rFont val="Arial"/>
        <family val="2"/>
        <charset val="204"/>
      </rPr>
      <t>2</t>
    </r>
    <r>
      <rPr>
        <sz val="12"/>
        <color theme="1"/>
        <rFont val="Calibri"/>
        <family val="2"/>
        <scheme val="minor"/>
      </rPr>
      <t xml:space="preserve"> name</t>
    </r>
  </si>
  <si>
    <t>mandatory or optional
CORDEX/CMIP5</t>
  </si>
  <si>
    <t>CV or free text
CORDEX/CMIP5</t>
  </si>
  <si>
    <t>comment</t>
  </si>
  <si>
    <t>institute_id</t>
  </si>
  <si>
    <t>mandatory/mandatory</t>
  </si>
  <si>
    <t>CV/CV</t>
  </si>
  <si>
    <t>institution</t>
  </si>
  <si>
    <t>optional/mandatory</t>
  </si>
  <si>
    <t>free text/free text</t>
  </si>
  <si>
    <t>model_id</t>
  </si>
  <si>
    <t>CORDEX starts with &lt;institute_id&gt;-</t>
  </si>
  <si>
    <t>experiment_id</t>
  </si>
  <si>
    <t>same CV as CMIP5 with "evaluation" in addition</t>
  </si>
  <si>
    <t>experiment</t>
  </si>
  <si>
    <t>free text/CV</t>
  </si>
  <si>
    <t>long version of "experiment_id"</t>
  </si>
  <si>
    <t>contact</t>
  </si>
  <si>
    <t>product</t>
  </si>
  <si>
    <t>single value ("output")</t>
  </si>
  <si>
    <t>Conventions</t>
  </si>
  <si>
    <r>
      <t>optional</t>
    </r>
    <r>
      <rPr>
        <sz val="12"/>
        <color theme="1"/>
        <rFont val="Calibri"/>
        <family val="2"/>
        <scheme val="minor"/>
      </rPr>
      <t>/mandatory</t>
    </r>
  </si>
  <si>
    <r>
      <t>later than CF1.4 if present /</t>
    </r>
    <r>
      <rPr>
        <sz val="12"/>
        <color theme="1"/>
        <rFont val="Calibri"/>
        <family val="2"/>
        <scheme val="minor"/>
      </rPr>
      <t xml:space="preserve"> single value ("CF-1.4")</t>
    </r>
  </si>
  <si>
    <t>creation_date</t>
  </si>
  <si>
    <t>YYYY-MM-DDTHH:MM:SSZ</t>
  </si>
  <si>
    <t>format according to UNIDATA conventions
(same in CMIP5 &amp; CORDEX)</t>
  </si>
  <si>
    <t>frequency</t>
  </si>
  <si>
    <t>same CV as CMIP5 with "sem" in addition;
3hr highest freq. in CORDEX; no "yr"</t>
  </si>
  <si>
    <t>driving_model_id</t>
  </si>
  <si>
    <t>mandatory/</t>
  </si>
  <si>
    <t>&lt;CMIP5 institute_id&gt;-
&lt;member in CMIP5 CV list of model_id &gt;</t>
  </si>
  <si>
    <t>starts with &lt;CMIP5 institute_id&gt;-</t>
  </si>
  <si>
    <t>driving_model_ensemble_member</t>
  </si>
  <si>
    <t>CMIP5 CV
(e.g. "r1i1p1")</t>
  </si>
  <si>
    <t>driving_experiment_name</t>
  </si>
  <si>
    <t>"evaluation" or 
&lt;member in CMIP5 CV list of experiment_id &gt;</t>
  </si>
  <si>
    <t>driving_experiment</t>
  </si>
  <si>
    <t>"&lt;driving_model_id&gt;,
&lt;driving_experiment_name&gt;,
&lt;driving_model_ensemble_member&gt;"</t>
  </si>
  <si>
    <t>members of the CMIP5 list of forcing agents are not necessarily forcing agents of RCM (besides implicitly in driving_experimnt)</t>
  </si>
  <si>
    <t>rcm_version_ID</t>
  </si>
  <si>
    <t>&lt;free text string&gt;; valid characters only</t>
  </si>
  <si>
    <t>indicates model modifs during the project (e.g.parameterizations, small upgrades)</t>
  </si>
  <si>
    <t>project_id</t>
  </si>
  <si>
    <t>CV</t>
  </si>
  <si>
    <t>single value</t>
  </si>
  <si>
    <t>CORDEX_domain</t>
  </si>
  <si>
    <t>CV
(e.g. "AFR-44", "AFR-44i")</t>
  </si>
  <si>
    <t>includes resolution acronym</t>
  </si>
  <si>
    <t>references</t>
  </si>
  <si>
    <t>optional/optional</t>
  </si>
  <si>
    <t>typically should refer to model formulation
(i.e. wrong example in ADD)
not explained</t>
  </si>
  <si>
    <t>tracking_id</t>
  </si>
  <si>
    <t>same</t>
  </si>
  <si>
    <t>generated</t>
  </si>
  <si>
    <r>
      <t xml:space="preserve">not </t>
    </r>
    <r>
      <rPr>
        <sz val="10"/>
        <color indexed="10"/>
        <rFont val="Arial"/>
        <family val="2"/>
        <charset val="204"/>
      </rPr>
      <t>required or</t>
    </r>
    <r>
      <rPr>
        <sz val="12"/>
        <color theme="1"/>
        <rFont val="Calibri"/>
        <family val="2"/>
        <scheme val="minor"/>
      </rPr>
      <t xml:space="preserve"> explained in ADD; it is, however, strongly recommended to include it as prescribed CMIP5.</t>
    </r>
  </si>
  <si>
    <t>not in the ADD example</t>
  </si>
  <si>
    <t>modeling_realm</t>
  </si>
  <si>
    <t>/mandatory</t>
  </si>
  <si>
    <t>/CV</t>
  </si>
  <si>
    <t>CORDEX variables are all "atmos" or "land"; there is no specification of ocean, sea ice, etc. specification; not adopted by CORDEX</t>
  </si>
  <si>
    <t>table_id</t>
  </si>
  <si>
    <t>not adopted by CORDEX;
MIP tables exist named according to frequencies</t>
  </si>
  <si>
    <t>source</t>
  </si>
  <si>
    <t>/free text</t>
  </si>
  <si>
    <t>not adopted by CORDEX</t>
  </si>
  <si>
    <t>realisation</t>
  </si>
  <si>
    <t>/integer</t>
  </si>
  <si>
    <t>the CMIP5 concept of ensemble members is not adopted by CORDEX</t>
  </si>
  <si>
    <t>initialization</t>
  </si>
  <si>
    <t>parent_experiment_rip</t>
  </si>
  <si>
    <t>the CMIP5 concept of parent experiments is not adopted by CORDEX</t>
  </si>
  <si>
    <t>parent_experiment_id</t>
  </si>
  <si>
    <t>the CMIP5 concept of parent experiments is not adopted by CORDEX; 
the driving_experiment_id is conceptually different</t>
  </si>
  <si>
    <t>Section B: other CORDEX attributes</t>
  </si>
  <si>
    <r>
      <t>CORDEX as in ADD</t>
    </r>
    <r>
      <rPr>
        <vertAlign val="superscript"/>
        <sz val="10"/>
        <rFont val="Arial"/>
        <family val="2"/>
        <charset val="204"/>
      </rPr>
      <t>1</t>
    </r>
    <r>
      <rPr>
        <sz val="12"/>
        <color theme="1"/>
        <rFont val="Calibri"/>
        <family val="2"/>
        <scheme val="minor"/>
      </rPr>
      <t xml:space="preserve"> </t>
    </r>
  </si>
  <si>
    <t>CMIP5 name</t>
  </si>
  <si>
    <t>CV / free text</t>
  </si>
  <si>
    <t>time reference point</t>
  </si>
  <si>
    <t>basetime</t>
  </si>
  <si>
    <t>CV/CV
("1949-12-01T00:00:00Z")</t>
  </si>
  <si>
    <t>single value in CORDEX;
oth formatted acording to UNIDATA conventions</t>
  </si>
  <si>
    <t>calendar</t>
  </si>
  <si>
    <t>CV - CF conventions</t>
  </si>
  <si>
    <t>as in driving model</t>
  </si>
  <si>
    <t>grid attributes</t>
  </si>
  <si>
    <t>mandatory/mandatory
according to CF conventions</t>
  </si>
  <si>
    <t>Section C: CORDEX DRS elements and corresponding attributes (in order of appearance in the file name)</t>
  </si>
  <si>
    <r>
      <t>CORDEX DRS element</t>
    </r>
    <r>
      <rPr>
        <vertAlign val="superscript"/>
        <sz val="10"/>
        <rFont val="Arial"/>
        <family val="2"/>
        <charset val="204"/>
      </rPr>
      <t>1</t>
    </r>
    <r>
      <rPr>
        <sz val="12"/>
        <color theme="1"/>
        <rFont val="Calibri"/>
        <family val="2"/>
        <scheme val="minor"/>
      </rPr>
      <t xml:space="preserve"> </t>
    </r>
  </si>
  <si>
    <t>mandatory or not</t>
  </si>
  <si>
    <t>NetCDF attribute</t>
  </si>
  <si>
    <t>Institution</t>
  </si>
  <si>
    <t>institude_id</t>
  </si>
  <si>
    <t>VariableName</t>
  </si>
  <si>
    <t>mandatory</t>
  </si>
  <si>
    <t>see ADD tables</t>
  </si>
  <si>
    <t>Domain</t>
  </si>
  <si>
    <t>GCMModelName</t>
  </si>
  <si>
    <t>CMIP5ExperimentName</t>
  </si>
  <si>
    <t>CMIP5EnsembleMember</t>
  </si>
  <si>
    <t>RCMModelName</t>
  </si>
  <si>
    <t>RCMVersionID</t>
  </si>
  <si>
    <t>rcm_version_id</t>
  </si>
  <si>
    <t>Frequency</t>
  </si>
  <si>
    <t>StartTime-EndTime</t>
  </si>
  <si>
    <t>not allowed if &lt;frequency&gt;=fx</t>
  </si>
  <si>
    <t xml:space="preserve">N/A  </t>
  </si>
  <si>
    <r>
      <t xml:space="preserve">2 </t>
    </r>
    <r>
      <rPr>
        <sz val="8"/>
        <rFont val="Arial"/>
        <family val="2"/>
        <charset val="204"/>
      </rPr>
      <t>Taylor, K., and C. Doutriaux, 2011. “CMIP5 Model Output Requirements: File Contents and Format, Data Structure and Meta Data” (http://cmip-pcmdi.llnl.gov/cmip5/output_req.html#metadata)</t>
    </r>
  </si>
  <si>
    <t>DRS element</t>
  </si>
  <si>
    <t># CV
values</t>
  </si>
  <si>
    <t>N/A</t>
  </si>
  <si>
    <t>ref</t>
  </si>
  <si>
    <t>&lt;</t>
  </si>
  <si>
    <t>see http://cordex.dmi.dk/joomla/images/CORDEX/RCMModelName.txt</t>
  </si>
  <si>
    <t xml:space="preserve">CMIP5ExperimentName
</t>
  </si>
  <si>
    <t>any CMIP5 experiment_id is acceptable</t>
  </si>
  <si>
    <t>7</t>
  </si>
  <si>
    <t>evaluation</t>
  </si>
  <si>
    <t>rcp45</t>
  </si>
  <si>
    <t>rcp85</t>
  </si>
  <si>
    <t>decadal1980</t>
  </si>
  <si>
    <t>decadal1990</t>
  </si>
  <si>
    <t>decadal2005</t>
  </si>
  <si>
    <t>amip</t>
  </si>
  <si>
    <t>output</t>
  </si>
  <si>
    <t>CF-1.4</t>
  </si>
  <si>
    <t>CF-1.5</t>
  </si>
  <si>
    <t>CF-1.6</t>
  </si>
  <si>
    <t>sem</t>
  </si>
  <si>
    <t>mon</t>
  </si>
  <si>
    <t>day</t>
  </si>
  <si>
    <t>6hr</t>
  </si>
  <si>
    <t>3hr</t>
  </si>
  <si>
    <t>fx</t>
  </si>
  <si>
    <t>rule</t>
  </si>
  <si>
    <t>&lt;CMIP5-institute_id&gt;-&lt;CMIP5-model_id&gt; from the CMIP5 CV (see http://cordex.dmi.dk/joomla/images/CORDEX/GCMModelName.txt)</t>
  </si>
  <si>
    <r>
      <t xml:space="preserve">rLiMpN, L,M,N=1,2,3, … or L=M=N=0 </t>
    </r>
    <r>
      <rPr>
        <sz val="10"/>
        <color indexed="10"/>
        <rFont val="Arial"/>
        <family val="2"/>
        <charset val="204"/>
      </rPr>
      <t>for time invariant values</t>
    </r>
  </si>
  <si>
    <t>any CMIP5 experiment_id + reananlyses</t>
  </si>
  <si>
    <t>2+</t>
  </si>
  <si>
    <t>ERAINT</t>
  </si>
  <si>
    <t>ERA40</t>
  </si>
  <si>
    <t>&lt;CMIP5-experiment_id&gt; from CMIP5 CV or values in fields F6 to K6</t>
  </si>
  <si>
    <t>any string built from valid CORDEX element characters (a-z, A-Z, 0-9, '-')</t>
  </si>
  <si>
    <t>Project</t>
  </si>
  <si>
    <t>1</t>
  </si>
  <si>
    <t>CORDEX</t>
  </si>
  <si>
    <t>region_id</t>
  </si>
  <si>
    <t>13</t>
  </si>
  <si>
    <t>SAM</t>
  </si>
  <si>
    <t>CAM</t>
  </si>
  <si>
    <t>NAM</t>
  </si>
  <si>
    <t>EUR</t>
  </si>
  <si>
    <t>AFR</t>
  </si>
  <si>
    <t>WAS</t>
  </si>
  <si>
    <t>EAS</t>
  </si>
  <si>
    <t>CAS</t>
  </si>
  <si>
    <t>AUS</t>
  </si>
  <si>
    <t>ANT</t>
  </si>
  <si>
    <t>AEC</t>
  </si>
  <si>
    <t>MED</t>
  </si>
  <si>
    <t>MNA</t>
  </si>
  <si>
    <t>resolution flag</t>
  </si>
  <si>
    <t>5</t>
  </si>
  <si>
    <t>055</t>
  </si>
  <si>
    <t>0275</t>
  </si>
  <si>
    <t>&lt;region_id&gt;-&lt;resolution_flag&gt; as in http://cordex.dmi.dk/joomla/images/CORDEX/cordex_archive_specifications.pdf (Table )</t>
  </si>
  <si>
    <t xml:space="preserve"> format:  YYYY[MM[DD[HH]]]-YYYY[MM[DD[HH]]]   </t>
  </si>
  <si>
    <t>time: point</t>
  </si>
  <si>
    <t>time: mean</t>
  </si>
  <si>
    <t>areacella</t>
  </si>
  <si>
    <t>m2</t>
  </si>
  <si>
    <t>orog</t>
  </si>
  <si>
    <t>sftlf</t>
  </si>
  <si>
    <t>sftgif</t>
  </si>
  <si>
    <t>rootd</t>
  </si>
  <si>
    <t>new variable to include wind at turbine height</t>
  </si>
  <si>
    <t>Atmosphere Grid-Cell Area</t>
  </si>
  <si>
    <t>cell_area</t>
  </si>
  <si>
    <t>Surface Altitude</t>
  </si>
  <si>
    <t>surface_altitude</t>
  </si>
  <si>
    <t>Land Area Fraction</t>
  </si>
  <si>
    <t>land_area_fraction</t>
  </si>
  <si>
    <t>Fraction of Grid Cell Covered with Glacier</t>
  </si>
  <si>
    <t>land_ice_area_fraction</t>
  </si>
  <si>
    <t>Capacity of Soil to Store Water</t>
  </si>
  <si>
    <t>soil_moisture_content_at_field_capacity</t>
  </si>
  <si>
    <t>Maximum Root Depth</t>
  </si>
  <si>
    <t>root_depth</t>
  </si>
  <si>
    <t>atmos land</t>
  </si>
  <si>
    <t>*CV = Controlled Vocabularies</t>
  </si>
  <si>
    <t>mrsol</t>
  </si>
  <si>
    <t>Total water content of soil layer</t>
  </si>
  <si>
    <t>moisture_content_of_soil_layer</t>
  </si>
  <si>
    <t>Use ECMWF method for calculating slp (no smoothing); make note of method in "comments"</t>
  </si>
  <si>
    <t>wsgmax100m</t>
  </si>
  <si>
    <t>Maximum wind speed of gust at 100m</t>
  </si>
  <si>
    <t>wind_speed_of_gust</t>
  </si>
  <si>
    <t>sfcWindmax</t>
  </si>
  <si>
    <t>Daily maximum near-surface wind speed</t>
  </si>
  <si>
    <t>wind_speed</t>
  </si>
  <si>
    <t>va100m</t>
  </si>
  <si>
    <t>Northward wind at 100m</t>
  </si>
  <si>
    <t>ua100m</t>
  </si>
  <si>
    <t>Eastward wind at 100m</t>
  </si>
  <si>
    <t>zmla</t>
  </si>
  <si>
    <t>atmosphere_boundary_layer_thickness</t>
  </si>
  <si>
    <t>Height of boundary layer</t>
  </si>
  <si>
    <t>Reference formula used in "comments"</t>
  </si>
  <si>
    <t>Refer to formula used in "comments"</t>
  </si>
  <si>
    <t>2-D Maximum convective available potential energy</t>
  </si>
  <si>
    <t>2-D Maximum convective inhibition</t>
  </si>
  <si>
    <t>wsgsmax</t>
  </si>
  <si>
    <t>Cell Methods</t>
  </si>
  <si>
    <t>time: maximum</t>
  </si>
  <si>
    <t>time: minimum</t>
  </si>
  <si>
    <t>Total number lightning flashes</t>
  </si>
  <si>
    <t>wa1000</t>
  </si>
  <si>
    <t>wa850</t>
  </si>
  <si>
    <t>wa700</t>
  </si>
  <si>
    <t>wa500</t>
  </si>
  <si>
    <t>wa200</t>
  </si>
  <si>
    <t>Upward air velocity</t>
  </si>
  <si>
    <t>upward_air_velocity</t>
  </si>
  <si>
    <t>specify "postivite up" in comments</t>
  </si>
  <si>
    <r>
      <t xml:space="preserve">1 </t>
    </r>
    <r>
      <rPr>
        <sz val="8"/>
        <rFont val="Arial"/>
        <family val="2"/>
        <charset val="204"/>
      </rPr>
      <t>see Christensen, Gutowski, Nikulin, and Legutke; 2013. CORDEX Archive Design (http://cordex.org/publications/report-and-document-archives/)</t>
    </r>
  </si>
  <si>
    <t>Levelvalue (height,plev)</t>
  </si>
  <si>
    <t>Level</t>
  </si>
  <si>
    <t>Derotate</t>
  </si>
  <si>
    <t>yes</t>
  </si>
  <si>
    <t>PressureLevel</t>
  </si>
  <si>
    <t>ModelLevel</t>
  </si>
  <si>
    <t xml:space="preserve">Tier-1 variables are optional outputs </t>
  </si>
  <si>
    <t xml:space="preserve"> Maximum Near-Surface Wind Speed of Gust</t>
  </si>
  <si>
    <t>ic_lightning</t>
  </si>
  <si>
    <t>cg_lighning</t>
  </si>
  <si>
    <t>Intra-cloud lightning flashes</t>
  </si>
  <si>
    <t>Cloud-ground lightning flashes</t>
  </si>
  <si>
    <t>cg_lightning</t>
  </si>
  <si>
    <t>total_lightning</t>
  </si>
  <si>
    <t>counts</t>
  </si>
  <si>
    <t>if supplying ic_lightning and cg_lightning just add these</t>
  </si>
  <si>
    <t>explicitly declare how the separation between IC and CG was performed</t>
  </si>
  <si>
    <t>time: sum</t>
  </si>
  <si>
    <t>J kg-1</t>
  </si>
  <si>
    <t>atmosphere_convective_available_potential_energy_wrt_surface</t>
  </si>
  <si>
    <t>atmosphere_convective_inhibition_wrt_surface</t>
  </si>
  <si>
    <t>Vertical integral of mass content of graupel</t>
  </si>
  <si>
    <t>atmosphere_mass_content_of_graupel</t>
  </si>
  <si>
    <t>standard name to be registered at cf-metadata@cgd.ucar.edu</t>
  </si>
  <si>
    <t>Vertical integral of mass content of hail</t>
  </si>
  <si>
    <t>atmosphere_mass_content_of_hail</t>
  </si>
  <si>
    <t>clgvi</t>
  </si>
  <si>
    <t>clhvi</t>
  </si>
  <si>
    <t>CORE variables are required unless a particular variale is not available</t>
  </si>
  <si>
    <t>30 Nov 2017 V4.2</t>
  </si>
  <si>
    <t>ua925</t>
  </si>
  <si>
    <t>va925</t>
  </si>
  <si>
    <t>wa925</t>
  </si>
  <si>
    <t>hus925</t>
  </si>
  <si>
    <t>ta925</t>
  </si>
  <si>
    <t>zg925</t>
  </si>
  <si>
    <t>can be defined as either the maximum wind speed of a time interval or calculated from a gust parameter-ization; indicate method in "comments"</t>
  </si>
  <si>
    <t>This is an instantaneous variable. To obtain daily averages save 6 hourly then average</t>
  </si>
  <si>
    <t>Total depth must be noted in "comments". This is an instantaneous variable. To obtain daily averages save 6 hourly then average</t>
  </si>
  <si>
    <t>first layer (depth noted in "comments") is required additional layers  optional. If addtional layers are added please include "soil_layer" and "soil_layer_bnds" as the vertical coordinate and make sure depths are clearly specified (example on wiki).  This is an instantaneous variable. To obtain daily averages save 6 hourly then average</t>
  </si>
  <si>
    <t>CMORizer KGo 09/2022</t>
  </si>
  <si>
    <t>nml</t>
  </si>
  <si>
    <t>ncfile</t>
  </si>
  <si>
    <t>prc</t>
  </si>
  <si>
    <t>convective_precipitation_flux</t>
  </si>
  <si>
    <t>tsl</t>
  </si>
  <si>
    <t>soil_temperature</t>
  </si>
  <si>
    <t>rlut</t>
  </si>
  <si>
    <t>rsdt</t>
  </si>
  <si>
    <t>toa_incoming_shortwave_flux</t>
  </si>
  <si>
    <t>toa_outgoing_longwave_flux</t>
  </si>
  <si>
    <t>rsut</t>
  </si>
  <si>
    <t>toa_outgoing_shortwave_flux</t>
  </si>
  <si>
    <t>sund</t>
  </si>
  <si>
    <t>duration_of_sunshine</t>
  </si>
  <si>
    <t>snw</t>
  </si>
  <si>
    <t>surface_snow_amount</t>
  </si>
  <si>
    <t>sic</t>
  </si>
  <si>
    <t>sea_ice_area_fraction</t>
  </si>
  <si>
    <t>prsn</t>
  </si>
  <si>
    <t>snowfall_flux</t>
  </si>
  <si>
    <t>snm</t>
  </si>
  <si>
    <t>surface_snow_melt_flux</t>
  </si>
  <si>
    <t>sfcWind</t>
  </si>
  <si>
    <t>IDL</t>
  </si>
  <si>
    <t>f90</t>
  </si>
  <si>
    <t>nml (seems to be implemented)</t>
  </si>
  <si>
    <t>ncfile (actually written in test runs)</t>
  </si>
  <si>
    <t>f90 (implemented in CMOrizer but not used)</t>
  </si>
  <si>
    <t>add-on columns</t>
  </si>
  <si>
    <t>retrieved 2022-09-</t>
  </si>
  <si>
    <t>notes</t>
  </si>
  <si>
    <t>prhmax</t>
  </si>
  <si>
    <t>in old nml file</t>
  </si>
  <si>
    <t>Daily Maximum Hourly Precipitation Rate</t>
  </si>
  <si>
    <t>in f90</t>
  </si>
  <si>
    <t>omega</t>
  </si>
  <si>
    <t>some add. Var</t>
  </si>
  <si>
    <t>c</t>
  </si>
  <si>
    <t>hurs</t>
  </si>
  <si>
    <t>t1</t>
  </si>
  <si>
    <t>tauu</t>
  </si>
  <si>
    <t>tauv</t>
  </si>
  <si>
    <t>rsdsdir</t>
  </si>
  <si>
    <t>mrfso</t>
  </si>
  <si>
    <t>mrfsos</t>
  </si>
  <si>
    <t>mrsos</t>
  </si>
  <si>
    <t>siconca</t>
  </si>
  <si>
    <t>va ta ua hus zg</t>
  </si>
  <si>
    <t>new CORDEX-CMIP6 tables, core tier1 tier2, of 2022-09-29</t>
  </si>
  <si>
    <t>t2</t>
  </si>
  <si>
    <t>sfturf</t>
  </si>
  <si>
    <t>sftlaf</t>
  </si>
  <si>
    <t>capemax</t>
  </si>
  <si>
    <t>cinmax</t>
  </si>
  <si>
    <t>od550aer</t>
  </si>
  <si>
    <t>z0</t>
  </si>
  <si>
    <t>rsdscs</t>
  </si>
  <si>
    <t>rldscs</t>
  </si>
  <si>
    <t>rsuscs</t>
  </si>
  <si>
    <t>rluscs</t>
  </si>
  <si>
    <t>rsutcs</t>
  </si>
  <si>
    <t>rlutcs</t>
  </si>
  <si>
    <t>https://docs.google.com/spreadsheets/d/1qttqjJ9wmMTHWpSYdOMYArMQ-i12MhGY/edit#gid=1534498777</t>
  </si>
  <si>
    <t>above are the only few vars which are only in FPSCONV and not in CORDEX</t>
  </si>
  <si>
    <t>not in f90</t>
  </si>
  <si>
    <t>see mrsol</t>
  </si>
  <si>
    <t>additionally in my NML for FPSCONV, but also needed partly by CORDEX</t>
  </si>
  <si>
    <t>is this to ne masked over sea ice?</t>
  </si>
  <si>
    <t>this is a binary value in my data, 0/1 -&gt; fractional sea ice caused error with WRF</t>
  </si>
  <si>
    <t>stuff which is new in CMIP6 VL and not included so far in my CMORizer</t>
  </si>
  <si>
    <t>Pressure Velocity [Pa s-1]</t>
  </si>
  <si>
    <t>IDL (covered by IDL processing) header_var</t>
  </si>
  <si>
    <t>additionally in IDL dataset</t>
  </si>
  <si>
    <t>clw</t>
  </si>
  <si>
    <t>Mass fraction of cloud liquid water</t>
  </si>
  <si>
    <t>Rita has script for that</t>
  </si>
  <si>
    <t>U</t>
  </si>
  <si>
    <t>V</t>
  </si>
  <si>
    <t xml:space="preserve">T </t>
  </si>
  <si>
    <t>W</t>
  </si>
  <si>
    <t>QV</t>
  </si>
  <si>
    <t>U V T W QV FI</t>
  </si>
  <si>
    <t>FI</t>
  </si>
  <si>
    <t>T_2M</t>
  </si>
  <si>
    <t>TMAX_2M</t>
  </si>
  <si>
    <t>TMIN_2M</t>
  </si>
  <si>
    <t>QV_2M</t>
  </si>
  <si>
    <t>PS</t>
  </si>
  <si>
    <t>PMSL</t>
  </si>
  <si>
    <t>ASWDIR_S+ASWDIFD_S</t>
  </si>
  <si>
    <t>ALWD_S</t>
  </si>
  <si>
    <t>HSURF</t>
  </si>
  <si>
    <t>FR_LAND</t>
  </si>
  <si>
    <t>T_S</t>
  </si>
  <si>
    <t>AUMFL_S</t>
  </si>
  <si>
    <t>AVMFL_S</t>
  </si>
  <si>
    <t>VMAX_10M</t>
  </si>
  <si>
    <t>DURSUN</t>
  </si>
  <si>
    <t>ASWDIR_S</t>
  </si>
  <si>
    <t>ASWDIFU_S</t>
  </si>
  <si>
    <t>ALWU_S</t>
  </si>
  <si>
    <t>ASOD_T</t>
  </si>
  <si>
    <t>ATHB_T</t>
  </si>
  <si>
    <t>ASOD_T ASOB_T</t>
  </si>
  <si>
    <t>ASHFL_S</t>
  </si>
  <si>
    <t>ALHFL_S</t>
  </si>
  <si>
    <t>HPBL</t>
  </si>
  <si>
    <t>TQV</t>
  </si>
  <si>
    <t>TQI</t>
  </si>
  <si>
    <t>W_SO_ICE</t>
  </si>
  <si>
    <t>mrsfl</t>
  </si>
  <si>
    <t>VABSMX_10M</t>
  </si>
  <si>
    <t>clh</t>
  </si>
  <si>
    <t>clm</t>
  </si>
  <si>
    <t>cll</t>
  </si>
  <si>
    <t>CLCH</t>
  </si>
  <si>
    <t>CLCM</t>
  </si>
  <si>
    <t>CLCL</t>
  </si>
  <si>
    <t>n/a</t>
  </si>
  <si>
    <t>Z0</t>
  </si>
  <si>
    <t>CAPE_ML</t>
  </si>
  <si>
    <t>CAPE_MU</t>
  </si>
  <si>
    <t>CIN_ML</t>
  </si>
  <si>
    <t>CIN_MU</t>
  </si>
  <si>
    <t>LImax</t>
  </si>
  <si>
    <t>model top is at 22km, i.e., about 40hPa in ICAO Standard Atmosphere</t>
  </si>
  <si>
    <t>ua50m</t>
  </si>
  <si>
    <t>va50m</t>
  </si>
  <si>
    <t>ua150m</t>
  </si>
  <si>
    <t>va150m</t>
  </si>
  <si>
    <t>ta50m</t>
  </si>
  <si>
    <t>hus50m</t>
  </si>
  <si>
    <t>ua300m</t>
  </si>
  <si>
    <t>va300m</t>
  </si>
  <si>
    <t>ua250m</t>
  </si>
  <si>
    <t>va250m</t>
  </si>
  <si>
    <t>ua200m</t>
  </si>
  <si>
    <t>va200m</t>
  </si>
  <si>
    <t>calc</t>
  </si>
  <si>
    <t>dtb</t>
  </si>
  <si>
    <t>OMEGA</t>
  </si>
  <si>
    <t>30 20 10 does not work</t>
  </si>
  <si>
    <t>CCLM does not have it either</t>
  </si>
  <si>
    <t>CCLM does not have it</t>
  </si>
  <si>
    <t>TQG</t>
  </si>
  <si>
    <t>not implemented in WRF</t>
  </si>
  <si>
    <t>COSMO and CCLM have this</t>
  </si>
  <si>
    <t>?</t>
  </si>
  <si>
    <t>clear sky radiation variables</t>
  </si>
  <si>
    <t>DETECT variables</t>
  </si>
  <si>
    <t>U_10M</t>
  </si>
  <si>
    <t>U_10M V_10M</t>
  </si>
  <si>
    <t>V_10M</t>
  </si>
  <si>
    <t>RELHUM_2M</t>
  </si>
  <si>
    <r>
      <t>TQC  (</t>
    </r>
    <r>
      <rPr>
        <sz val="12"/>
        <color theme="6" tint="-0.249977111117893"/>
        <rFont val="Calibri (Body)"/>
      </rPr>
      <t>TQC+TQI</t>
    </r>
    <r>
      <rPr>
        <sz val="12"/>
        <color theme="1"/>
        <rFont val="Calibri"/>
        <family val="2"/>
        <scheme val="minor"/>
      </rPr>
      <t>)</t>
    </r>
  </si>
  <si>
    <t>TOT_PREC</t>
  </si>
  <si>
    <r>
      <t xml:space="preserve">CLCT -&gt; </t>
    </r>
    <r>
      <rPr>
        <sz val="12"/>
        <color theme="6" tint="-0.249977111117893"/>
        <rFont val="Calibri (Body)"/>
      </rPr>
      <t>with CCLM this is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6" tint="-0.249977111117893"/>
        <rFont val="Calibri (Body)"/>
      </rPr>
      <t>CLCT_AV do not have this</t>
    </r>
  </si>
  <si>
    <t>now this is siconca, CCLM -&gt; 'not allocated in cosmo'</t>
  </si>
  <si>
    <t>SNOW_GSP + SNOW_CON</t>
  </si>
  <si>
    <r>
      <t xml:space="preserve">calc from </t>
    </r>
    <r>
      <rPr>
        <sz val="12"/>
        <color theme="6" tint="-0.249977111117893"/>
        <rFont val="Calibri (Body)"/>
      </rPr>
      <t>TOT_PREC</t>
    </r>
  </si>
  <si>
    <t>-&gt; 'not allocated in cosmo'</t>
  </si>
  <si>
    <t>via z level</t>
  </si>
  <si>
    <t>also all levels</t>
  </si>
  <si>
    <t>T</t>
  </si>
  <si>
    <r>
      <rPr>
        <sz val="12"/>
        <color theme="6" tint="-0.249977111117893"/>
        <rFont val="Calibri (Body)"/>
      </rPr>
      <t>V100z</t>
    </r>
    <r>
      <rPr>
        <sz val="12"/>
        <color theme="1"/>
        <rFont val="Calibri"/>
        <family val="2"/>
        <scheme val="minor"/>
      </rPr>
      <t xml:space="preserve"> -&gt; z level output</t>
    </r>
  </si>
  <si>
    <r>
      <rPr>
        <sz val="12"/>
        <color theme="6" tint="-0.249977111117893"/>
        <rFont val="Calibri (Body)"/>
      </rPr>
      <t>U100z</t>
    </r>
    <r>
      <rPr>
        <sz val="12"/>
        <color theme="1"/>
        <rFont val="Calibri"/>
        <family val="2"/>
        <scheme val="minor"/>
      </rPr>
      <t xml:space="preserve"> -&gt; z level output</t>
    </r>
  </si>
  <si>
    <r>
      <t xml:space="preserve">AEVAP_S </t>
    </r>
    <r>
      <rPr>
        <sz val="12"/>
        <color theme="1"/>
        <rFont val="Calibri (Body)"/>
      </rPr>
      <t>diag switch! ldiagnos</t>
    </r>
  </si>
  <si>
    <r>
      <t xml:space="preserve">PRR_CON PRS_CON -&gt; in CCLM: </t>
    </r>
    <r>
      <rPr>
        <sz val="12"/>
        <color theme="6" tint="-0.249977111117893"/>
        <rFont val="Calibri (Body)"/>
      </rPr>
      <t>RAIN_CON+SNOW_CON</t>
    </r>
  </si>
  <si>
    <t>WIND</t>
  </si>
  <si>
    <t>TSOI</t>
  </si>
  <si>
    <t>TSA</t>
  </si>
  <si>
    <t>THBOT</t>
  </si>
  <si>
    <t>TBOT</t>
  </si>
  <si>
    <t>SOILLIQ</t>
  </si>
  <si>
    <t>SNOW</t>
  </si>
  <si>
    <t>RAIN SNOW</t>
  </si>
  <si>
    <t>QFLX_SNOW_GRND</t>
  </si>
  <si>
    <t>QFLX_RAIN_GRND</t>
  </si>
  <si>
    <t>QFLX_EVAP_TOT</t>
  </si>
  <si>
    <t>QBOT</t>
  </si>
  <si>
    <t>H2OSOI</t>
  </si>
  <si>
    <t>FSR</t>
  </si>
  <si>
    <t>FSH</t>
  </si>
  <si>
    <t>FSDS</t>
  </si>
  <si>
    <t>FLDS</t>
  </si>
  <si>
    <t>FIRA FLDS</t>
  </si>
  <si>
    <t>FGR</t>
  </si>
  <si>
    <t>TSMP baseline EUR-11 activated, beginnign of July 2023, ParFlow var; those vars COSMO cannot provide when runnign coupled, we need to provide via ParFlow</t>
  </si>
  <si>
    <t>xxx</t>
  </si>
  <si>
    <t>FSNO</t>
  </si>
  <si>
    <t>QMELT</t>
  </si>
  <si>
    <t>Suface Snow Amount</t>
  </si>
  <si>
    <t>SNOWDP</t>
  </si>
  <si>
    <t>(H2OSNO) SNOWLIQ SNOWICE</t>
  </si>
  <si>
    <t>SOILICE</t>
  </si>
  <si>
    <r>
      <rPr>
        <sz val="12"/>
        <color theme="6" tint="-0.249977111117893"/>
        <rFont val="Calibri (Body)"/>
      </rPr>
      <t>FR_SNOW</t>
    </r>
    <r>
      <rPr>
        <sz val="12"/>
        <color theme="1"/>
        <rFont val="Calibri"/>
        <family val="2"/>
        <scheme val="minor"/>
      </rPr>
      <t>, CCLM has it, TSMP not</t>
    </r>
  </si>
  <si>
    <r>
      <rPr>
        <sz val="12"/>
        <color theme="6" tint="-0.249977111117893"/>
        <rFont val="Calibri (Body)"/>
      </rPr>
      <t>H_SNOW</t>
    </r>
    <r>
      <rPr>
        <sz val="12"/>
        <color theme="1"/>
        <rFont val="Calibri"/>
        <family val="2"/>
        <scheme val="minor"/>
      </rPr>
      <t>, CCLM has it, TSMP not</t>
    </r>
  </si>
  <si>
    <r>
      <t>SNOW_MELT</t>
    </r>
    <r>
      <rPr>
        <sz val="12"/>
        <rFont val="Calibri (Body)"/>
      </rPr>
      <t>, CCLM has it TSMP not</t>
    </r>
  </si>
  <si>
    <r>
      <t>W_SNOW</t>
    </r>
    <r>
      <rPr>
        <sz val="12"/>
        <rFont val="Calibri (Body)"/>
      </rPr>
      <t>, CCLM has it TSMP not</t>
    </r>
  </si>
  <si>
    <r>
      <t>W_SO</t>
    </r>
    <r>
      <rPr>
        <sz val="12"/>
        <rFont val="Calibri (Body)"/>
      </rPr>
      <t>, CCLM has it TSMP not</t>
    </r>
  </si>
  <si>
    <t>W_SO, CCLM has it TSMP not</t>
  </si>
  <si>
    <t>T_SO, TSMP does not have it</t>
  </si>
  <si>
    <r>
      <t>W_SO_ICE</t>
    </r>
    <r>
      <rPr>
        <sz val="12"/>
        <rFont val="Calibri (Body)"/>
      </rPr>
      <t>, CCLM has it TSMP not</t>
    </r>
  </si>
  <si>
    <t>W_SO, TSMP does not have it</t>
  </si>
  <si>
    <r>
      <t>RUNOFF_S</t>
    </r>
    <r>
      <rPr>
        <sz val="12"/>
        <rFont val="Calibri (Body)"/>
      </rPr>
      <t>, CCLM has it, TSMP not</t>
    </r>
  </si>
  <si>
    <r>
      <t xml:space="preserve"> RUNOFF_S RUNOFF_G, </t>
    </r>
    <r>
      <rPr>
        <sz val="12"/>
        <rFont val="Calibri (Body)"/>
      </rPr>
      <t>CCLM has it, TSMP not</t>
    </r>
  </si>
  <si>
    <t>TSMP baseline EUR-11 activated, beginnign of July 2023, COSMO var, green: this is the var nam used by CCLM2CMOR, se use their light CMORizer -&gt; we need to have these vars too; see also the nml INPUT_IO for problematic COSMO vars; yellow: this var is defined but cannot be used in the coupled version</t>
  </si>
  <si>
    <t>TSMP baseline EUR-11 activated, beginnign of July 2023, CLM var; those vars COSMO cannot provide when runnign coupled, we need to provide via CLM; some to replace, others to cross-check the coupling</t>
  </si>
  <si>
    <t xml:space="preserve">heat flux into soil/snow including snow melt </t>
  </si>
  <si>
    <t>FGEV FCTR FCEV</t>
  </si>
  <si>
    <t>NOT ALL VARS FORM NML entered here</t>
  </si>
  <si>
    <t>2023-11-05: check emails, pCMORizer.f90 outout; pCMORizer_aggregate_in_time.sh code -&gt; is all there?</t>
  </si>
  <si>
    <t>double chekc those below once more</t>
  </si>
  <si>
    <t>daily 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</si>
</sst>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name val="Arial"/>
      <family val="2"/>
      <charset val="204"/>
    </font>
    <font>
      <u/>
      <sz val="12"/>
      <name val="Arial"/>
      <family val="2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vertAlign val="superscript"/>
      <sz val="10"/>
      <name val="Arial"/>
      <family val="2"/>
      <charset val="204"/>
    </font>
    <font>
      <b/>
      <vertAlign val="superscript"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9"/>
      <name val="Arial"/>
      <family val="2"/>
      <charset val="204"/>
    </font>
    <font>
      <sz val="14"/>
      <name val="Arial"/>
      <family val="2"/>
      <charset val="204"/>
    </font>
    <font>
      <sz val="10"/>
      <color indexed="10"/>
      <name val="Arial"/>
      <family val="2"/>
      <charset val="204"/>
    </font>
    <font>
      <i/>
      <sz val="10"/>
      <name val="Arial"/>
      <family val="2"/>
      <charset val="204"/>
    </font>
    <font>
      <sz val="8"/>
      <name val="Arial"/>
      <family val="2"/>
      <charset val="204"/>
    </font>
    <font>
      <vertAlign val="superscript"/>
      <sz val="8"/>
      <name val="Arial"/>
      <family val="2"/>
      <charset val="204"/>
    </font>
    <font>
      <sz val="10"/>
      <color indexed="8"/>
      <name val="Times New Roman"/>
      <family val="1"/>
      <charset val="204"/>
    </font>
    <font>
      <sz val="11"/>
      <color theme="1"/>
      <name val="Menlo"/>
      <family val="2"/>
    </font>
    <font>
      <sz val="12"/>
      <name val="Arial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2"/>
      <color rgb="FF00B0F0"/>
      <name val="Calibri"/>
      <family val="2"/>
      <scheme val="minor"/>
    </font>
    <font>
      <sz val="12"/>
      <color rgb="FF00B0F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sz val="12"/>
      <name val="Arial"/>
      <family val="2"/>
      <charset val="204"/>
    </font>
    <font>
      <sz val="12"/>
      <color rgb="FF1F1F1F"/>
      <name val="Arial"/>
      <family val="2"/>
    </font>
    <font>
      <sz val="13"/>
      <color rgb="FF000000"/>
      <name val="Arial"/>
      <family val="2"/>
    </font>
    <font>
      <strike/>
      <sz val="12"/>
      <color theme="1"/>
      <name val="Calibri"/>
      <family val="2"/>
      <scheme val="minor"/>
    </font>
    <font>
      <sz val="12"/>
      <color theme="6" tint="-0.249977111117893"/>
      <name val="Calibri"/>
      <family val="2"/>
      <scheme val="minor"/>
    </font>
    <font>
      <sz val="12"/>
      <color theme="6" tint="-0.249977111117893"/>
      <name val="Calibri (Body)"/>
    </font>
    <font>
      <sz val="10"/>
      <color theme="6" tint="-0.249977111117893"/>
      <name val="Arial"/>
      <family val="2"/>
    </font>
    <font>
      <sz val="10"/>
      <color theme="6" tint="-0.249977111117893"/>
      <name val="Arial"/>
      <family val="2"/>
      <charset val="204"/>
    </font>
    <font>
      <sz val="12"/>
      <color theme="1"/>
      <name val="Calibri (Body)"/>
    </font>
    <font>
      <sz val="12"/>
      <name val="Calibri"/>
      <family val="2"/>
      <scheme val="minor"/>
    </font>
    <font>
      <sz val="12"/>
      <color theme="9" tint="-0.499984740745262"/>
      <name val="Calibri"/>
      <family val="2"/>
      <scheme val="minor"/>
    </font>
    <font>
      <sz val="12"/>
      <name val="Calibri (Body)"/>
    </font>
    <font>
      <sz val="10"/>
      <color theme="1"/>
      <name val="NimbusRomNo9L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05">
    <border>
      <left/>
      <right/>
      <top/>
      <bottom/>
      <diagonal/>
    </border>
    <border>
      <left/>
      <right/>
      <top/>
      <bottom style="medium">
        <color indexed="58"/>
      </bottom>
      <diagonal/>
    </border>
    <border>
      <left style="medium">
        <color indexed="58"/>
      </left>
      <right/>
      <top/>
      <bottom/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 style="thin">
        <color auto="1"/>
      </right>
      <top style="thin">
        <color indexed="58"/>
      </top>
      <bottom style="thin">
        <color indexed="58"/>
      </bottom>
      <diagonal/>
    </border>
    <border>
      <left style="thin">
        <color auto="1"/>
      </left>
      <right style="thin">
        <color auto="1"/>
      </right>
      <top style="thin">
        <color indexed="58"/>
      </top>
      <bottom style="thin">
        <color auto="1"/>
      </bottom>
      <diagonal/>
    </border>
    <border>
      <left style="thin">
        <color auto="1"/>
      </left>
      <right style="thin">
        <color indexed="58"/>
      </right>
      <top style="thin">
        <color indexed="58"/>
      </top>
      <bottom style="thin">
        <color auto="1"/>
      </bottom>
      <diagonal/>
    </border>
    <border>
      <left/>
      <right/>
      <top style="thin">
        <color indexed="58"/>
      </top>
      <bottom style="thin">
        <color indexed="5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5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58"/>
      </right>
      <top style="thin">
        <color auto="1"/>
      </top>
      <bottom style="thin">
        <color auto="1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/>
      <right style="thin">
        <color indexed="58"/>
      </right>
      <top style="thin">
        <color indexed="58"/>
      </top>
      <bottom/>
      <diagonal/>
    </border>
    <border>
      <left/>
      <right/>
      <top style="thin">
        <color indexed="58"/>
      </top>
      <bottom/>
      <diagonal/>
    </border>
    <border>
      <left style="thin">
        <color indexed="58"/>
      </left>
      <right style="thin">
        <color auto="1"/>
      </right>
      <top style="thin">
        <color indexed="58"/>
      </top>
      <bottom/>
      <diagonal/>
    </border>
    <border>
      <left/>
      <right/>
      <top style="thin">
        <color indexed="58"/>
      </top>
      <bottom style="thin">
        <color auto="1"/>
      </bottom>
      <diagonal/>
    </border>
    <border>
      <left style="thin">
        <color indexed="58"/>
      </left>
      <right style="thin">
        <color auto="1"/>
      </right>
      <top style="thin">
        <color indexed="58"/>
      </top>
      <bottom style="thin">
        <color auto="1"/>
      </bottom>
      <diagonal/>
    </border>
    <border>
      <left style="thin">
        <color indexed="58"/>
      </left>
      <right style="thin">
        <color auto="1"/>
      </right>
      <top/>
      <bottom style="thin">
        <color auto="1"/>
      </bottom>
      <diagonal/>
    </border>
    <border>
      <left style="thin">
        <color indexed="58"/>
      </left>
      <right style="thin">
        <color auto="1"/>
      </right>
      <top/>
      <bottom style="thin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indexed="58"/>
      </right>
      <top style="thin">
        <color auto="1"/>
      </top>
      <bottom style="medium">
        <color auto="1"/>
      </bottom>
      <diagonal/>
    </border>
    <border>
      <left style="thin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58"/>
      </left>
      <right/>
      <top style="thin">
        <color indexed="58"/>
      </top>
      <bottom/>
      <diagonal/>
    </border>
    <border>
      <left style="thin">
        <color auto="1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58"/>
      </left>
      <right/>
      <top style="thin">
        <color indexed="58"/>
      </top>
      <bottom style="thin">
        <color auto="1"/>
      </bottom>
      <diagonal/>
    </border>
    <border>
      <left style="thin">
        <color indexed="5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5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58"/>
      </bottom>
      <diagonal/>
    </border>
    <border>
      <left/>
      <right/>
      <top style="thin">
        <color auto="1"/>
      </top>
      <bottom style="thin">
        <color indexed="58"/>
      </bottom>
      <diagonal/>
    </border>
    <border>
      <left style="thin">
        <color indexed="5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58"/>
      </right>
      <top style="thin">
        <color auto="1"/>
      </top>
      <bottom/>
      <diagonal/>
    </border>
    <border>
      <left style="thin">
        <color indexed="58"/>
      </left>
      <right/>
      <top style="thin">
        <color indexed="58"/>
      </top>
      <bottom style="medium">
        <color auto="1"/>
      </bottom>
      <diagonal/>
    </border>
    <border>
      <left style="thin">
        <color auto="1"/>
      </left>
      <right/>
      <top style="thin">
        <color indexed="5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58"/>
      </left>
      <right/>
      <top/>
      <bottom style="thin">
        <color indexed="58"/>
      </bottom>
      <diagonal/>
    </border>
    <border>
      <left/>
      <right style="thin">
        <color indexed="58"/>
      </right>
      <top/>
      <bottom style="thin">
        <color indexed="58"/>
      </bottom>
      <diagonal/>
    </border>
    <border>
      <left style="thin">
        <color auto="1"/>
      </left>
      <right style="thin">
        <color auto="1"/>
      </right>
      <top style="thin">
        <color indexed="58"/>
      </top>
      <bottom style="thin">
        <color indexed="58"/>
      </bottom>
      <diagonal/>
    </border>
    <border>
      <left style="thin">
        <color auto="1"/>
      </left>
      <right style="thin">
        <color indexed="58"/>
      </right>
      <top style="thin">
        <color auto="1"/>
      </top>
      <bottom style="thin">
        <color indexed="58"/>
      </bottom>
      <diagonal/>
    </border>
    <border>
      <left style="thin">
        <color indexed="58"/>
      </left>
      <right/>
      <top/>
      <bottom style="thin">
        <color auto="1"/>
      </bottom>
      <diagonal/>
    </border>
    <border>
      <left style="medium">
        <color indexed="58"/>
      </left>
      <right style="thin">
        <color indexed="58"/>
      </right>
      <top/>
      <bottom style="thin">
        <color indexed="58"/>
      </bottom>
      <diagonal/>
    </border>
    <border>
      <left/>
      <right style="medium">
        <color indexed="58"/>
      </right>
      <top/>
      <bottom style="medium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medium">
        <color indexed="58"/>
      </right>
      <top style="medium">
        <color indexed="58"/>
      </top>
      <bottom style="thin">
        <color indexed="58"/>
      </bottom>
      <diagonal/>
    </border>
    <border>
      <left/>
      <right style="medium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medium">
        <color indexed="58"/>
      </bottom>
      <diagonal/>
    </border>
    <border>
      <left style="medium">
        <color indexed="58"/>
      </left>
      <right style="medium">
        <color indexed="58"/>
      </right>
      <top/>
      <bottom style="thin">
        <color indexed="58"/>
      </bottom>
      <diagonal/>
    </border>
    <border>
      <left style="medium">
        <color indexed="58"/>
      </left>
      <right style="medium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medium">
        <color indexed="58"/>
      </right>
      <top style="thin">
        <color indexed="58"/>
      </top>
      <bottom style="medium">
        <color indexed="58"/>
      </bottom>
      <diagonal/>
    </border>
    <border>
      <left style="medium">
        <color indexed="58"/>
      </left>
      <right style="medium">
        <color indexed="58"/>
      </right>
      <top style="medium">
        <color indexed="58"/>
      </top>
      <bottom style="medium">
        <color indexed="58"/>
      </bottom>
      <diagonal/>
    </border>
    <border>
      <left style="medium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medium">
        <color indexed="58"/>
      </top>
      <bottom style="medium">
        <color indexed="58"/>
      </bottom>
      <diagonal/>
    </border>
    <border>
      <left style="thin">
        <color indexed="58"/>
      </left>
      <right style="thin">
        <color indexed="58"/>
      </right>
      <top style="medium">
        <color indexed="58"/>
      </top>
      <bottom style="medium">
        <color indexed="58"/>
      </bottom>
      <diagonal/>
    </border>
    <border>
      <left style="thin">
        <color indexed="58"/>
      </left>
      <right/>
      <top style="medium">
        <color indexed="58"/>
      </top>
      <bottom style="medium">
        <color indexed="5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medium">
        <color indexed="58"/>
      </bottom>
      <diagonal/>
    </border>
    <border>
      <left/>
      <right/>
      <top style="thin">
        <color rgb="FF141312"/>
      </top>
      <bottom style="thin">
        <color rgb="FF141312"/>
      </bottom>
      <diagonal/>
    </border>
    <border>
      <left/>
      <right/>
      <top/>
      <bottom style="thin">
        <color rgb="FF141312"/>
      </bottom>
      <diagonal/>
    </border>
    <border>
      <left/>
      <right style="thin">
        <color auto="1"/>
      </right>
      <top style="thin">
        <color rgb="FF141312"/>
      </top>
      <bottom style="medium">
        <color auto="1"/>
      </bottom>
      <diagonal/>
    </border>
    <border>
      <left style="thin">
        <color auto="1"/>
      </left>
      <right style="thin">
        <color indexed="58"/>
      </right>
      <top style="thin">
        <color indexed="58"/>
      </top>
      <bottom style="medium">
        <color auto="1"/>
      </bottom>
      <diagonal/>
    </border>
    <border>
      <left style="thin">
        <color indexed="58"/>
      </left>
      <right style="thin">
        <color auto="1"/>
      </right>
      <top style="thin">
        <color indexed="58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indexed="58"/>
      </top>
      <bottom/>
      <diagonal/>
    </border>
    <border>
      <left style="thin">
        <color auto="1"/>
      </left>
      <right style="thin">
        <color auto="1"/>
      </right>
      <top style="thin">
        <color indexed="58"/>
      </top>
      <bottom/>
      <diagonal/>
    </border>
    <border>
      <left style="thin">
        <color auto="1"/>
      </left>
      <right style="thin">
        <color indexed="58"/>
      </right>
      <top style="thin">
        <color indexed="58"/>
      </top>
      <bottom/>
      <diagonal/>
    </border>
    <border>
      <left style="medium">
        <color auto="1"/>
      </left>
      <right style="thin">
        <color indexed="58"/>
      </right>
      <top style="medium">
        <color auto="1"/>
      </top>
      <bottom style="thin">
        <color indexed="58"/>
      </bottom>
      <diagonal/>
    </border>
    <border>
      <left style="thin">
        <color indexed="58"/>
      </left>
      <right style="thin">
        <color auto="1"/>
      </right>
      <top style="medium">
        <color auto="1"/>
      </top>
      <bottom style="thin">
        <color indexed="58"/>
      </bottom>
      <diagonal/>
    </border>
    <border>
      <left/>
      <right style="thin">
        <color auto="1"/>
      </right>
      <top style="medium">
        <color auto="1"/>
      </top>
      <bottom style="thin">
        <color indexed="5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58"/>
      </bottom>
      <diagonal/>
    </border>
    <border>
      <left/>
      <right/>
      <top style="medium">
        <color auto="1"/>
      </top>
      <bottom style="thin">
        <color indexed="58"/>
      </bottom>
      <diagonal/>
    </border>
    <border>
      <left style="thin">
        <color auto="1"/>
      </left>
      <right/>
      <top style="medium">
        <color auto="1"/>
      </top>
      <bottom style="thin">
        <color indexed="58"/>
      </bottom>
      <diagonal/>
    </border>
    <border>
      <left style="thin">
        <color auto="1"/>
      </left>
      <right style="thin">
        <color indexed="58"/>
      </right>
      <top style="medium">
        <color auto="1"/>
      </top>
      <bottom style="thin">
        <color indexed="58"/>
      </bottom>
      <diagonal/>
    </border>
    <border>
      <left style="thin">
        <color indexed="58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58"/>
      </right>
      <top/>
      <bottom style="thin">
        <color indexed="58"/>
      </bottom>
      <diagonal/>
    </border>
    <border>
      <left style="thin">
        <color indexed="58"/>
      </left>
      <right style="medium">
        <color auto="1"/>
      </right>
      <top/>
      <bottom style="thin">
        <color auto="1"/>
      </bottom>
      <diagonal/>
    </border>
    <border>
      <left style="thin">
        <color indexed="58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58"/>
      </right>
      <top style="thin">
        <color indexed="5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8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58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5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58"/>
      </right>
      <top style="thin">
        <color indexed="58"/>
      </top>
      <bottom style="thin">
        <color auto="1"/>
      </bottom>
      <diagonal/>
    </border>
    <border>
      <left style="medium">
        <color auto="1"/>
      </left>
      <right style="thin">
        <color rgb="FF141312"/>
      </right>
      <top style="thin">
        <color rgb="FF141312"/>
      </top>
      <bottom style="thin">
        <color rgb="FF141312"/>
      </bottom>
      <diagonal/>
    </border>
    <border>
      <left style="medium">
        <color auto="1"/>
      </left>
      <right style="thin">
        <color rgb="FF141312"/>
      </right>
      <top/>
      <bottom style="thin">
        <color rgb="FF141312"/>
      </bottom>
      <diagonal/>
    </border>
    <border>
      <left style="medium">
        <color auto="1"/>
      </left>
      <right style="thin">
        <color rgb="FF141312"/>
      </right>
      <top style="thin">
        <color rgb="FF14131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5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58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58"/>
      </left>
      <right/>
      <top style="thin">
        <color auto="1"/>
      </top>
      <bottom style="thin">
        <color indexed="58"/>
      </bottom>
      <diagonal/>
    </border>
    <border>
      <left/>
      <right style="thin">
        <color indexed="58"/>
      </right>
      <top style="thin">
        <color auto="1"/>
      </top>
      <bottom/>
      <diagonal/>
    </border>
  </borders>
  <cellStyleXfs count="13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4" borderId="66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10">
    <xf numFmtId="0" fontId="0" fillId="0" borderId="0" xfId="0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15" fontId="4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5" fillId="0" borderId="0" xfId="0" applyFont="1"/>
    <xf numFmtId="0" fontId="5" fillId="0" borderId="0" xfId="0" applyFont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1" xfId="0" applyBorder="1"/>
    <xf numFmtId="0" fontId="0" fillId="0" borderId="29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13" fillId="0" borderId="8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3" fillId="0" borderId="26" xfId="0" applyFont="1" applyBorder="1" applyAlignment="1">
      <alignment horizontal="center" wrapText="1"/>
    </xf>
    <xf numFmtId="0" fontId="12" fillId="0" borderId="9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3" fillId="0" borderId="27" xfId="0" applyFont="1" applyBorder="1" applyAlignment="1">
      <alignment horizontal="center" wrapText="1"/>
    </xf>
    <xf numFmtId="0" fontId="12" fillId="0" borderId="27" xfId="0" applyFont="1" applyBorder="1" applyAlignment="1">
      <alignment horizontal="center" wrapText="1"/>
    </xf>
    <xf numFmtId="0" fontId="12" fillId="0" borderId="20" xfId="0" applyFont="1" applyBorder="1" applyAlignment="1">
      <alignment horizontal="center" wrapText="1"/>
    </xf>
    <xf numFmtId="0" fontId="12" fillId="0" borderId="34" xfId="0" applyFont="1" applyBorder="1" applyAlignment="1">
      <alignment horizontal="center" wrapText="1"/>
    </xf>
    <xf numFmtId="0" fontId="12" fillId="0" borderId="35" xfId="0" applyFont="1" applyBorder="1" applyAlignment="1">
      <alignment horizontal="center" wrapText="1"/>
    </xf>
    <xf numFmtId="0" fontId="6" fillId="0" borderId="11" xfId="0" applyFont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12" fillId="0" borderId="28" xfId="0" applyFont="1" applyBorder="1" applyAlignment="1">
      <alignment horizontal="center" wrapText="1"/>
    </xf>
    <xf numFmtId="0" fontId="6" fillId="0" borderId="28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12" fillId="0" borderId="44" xfId="0" applyFont="1" applyBorder="1" applyAlignment="1">
      <alignment horizontal="center" wrapText="1"/>
    </xf>
    <xf numFmtId="0" fontId="12" fillId="0" borderId="41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12" fillId="0" borderId="24" xfId="0" applyFont="1" applyBorder="1" applyAlignment="1">
      <alignment horizontal="center" wrapText="1"/>
    </xf>
    <xf numFmtId="0" fontId="12" fillId="0" borderId="45" xfId="0" applyFont="1" applyBorder="1" applyAlignment="1">
      <alignment horizontal="center" wrapText="1"/>
    </xf>
    <xf numFmtId="0" fontId="5" fillId="0" borderId="18" xfId="0" applyFont="1" applyBorder="1"/>
    <xf numFmtId="0" fontId="5" fillId="0" borderId="33" xfId="0" applyFont="1" applyBorder="1"/>
    <xf numFmtId="0" fontId="0" fillId="0" borderId="33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15" fillId="0" borderId="1" xfId="0" applyNumberFormat="1" applyFont="1" applyBorder="1" applyAlignment="1">
      <alignment vertical="center"/>
    </xf>
    <xf numFmtId="14" fontId="15" fillId="0" borderId="0" xfId="0" applyNumberFormat="1" applyFont="1" applyAlignment="1">
      <alignment vertical="center"/>
    </xf>
    <xf numFmtId="0" fontId="0" fillId="0" borderId="0" xfId="0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46" xfId="0" applyFill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6" fillId="0" borderId="53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0" fontId="15" fillId="2" borderId="57" xfId="0" applyFont="1" applyFill="1" applyBorder="1" applyAlignment="1">
      <alignment horizontal="center" vertical="center"/>
    </xf>
    <xf numFmtId="0" fontId="15" fillId="2" borderId="58" xfId="0" applyFont="1" applyFill="1" applyBorder="1" applyAlignment="1">
      <alignment horizontal="center" vertical="center"/>
    </xf>
    <xf numFmtId="0" fontId="15" fillId="2" borderId="59" xfId="0" applyFont="1" applyFill="1" applyBorder="1" applyAlignment="1">
      <alignment horizontal="center" vertical="center"/>
    </xf>
    <xf numFmtId="0" fontId="15" fillId="2" borderId="57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49" fontId="0" fillId="0" borderId="46" xfId="0" applyNumberFormat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15" fontId="0" fillId="0" borderId="31" xfId="0" applyNumberFormat="1" applyBorder="1" applyAlignment="1">
      <alignment horizontal="left" vertical="center"/>
    </xf>
    <xf numFmtId="14" fontId="0" fillId="0" borderId="31" xfId="0" applyNumberForma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49" fontId="0" fillId="0" borderId="4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3" xfId="0" applyBorder="1" applyAlignment="1">
      <alignment horizontal="left" vertical="center" wrapText="1"/>
    </xf>
    <xf numFmtId="49" fontId="0" fillId="0" borderId="48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20" fillId="0" borderId="3" xfId="0" applyFont="1" applyBorder="1" applyAlignment="1">
      <alignment horizontal="left" vertical="center" wrapText="1"/>
    </xf>
    <xf numFmtId="49" fontId="20" fillId="0" borderId="3" xfId="0" applyNumberFormat="1" applyFon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/>
    </xf>
    <xf numFmtId="49" fontId="0" fillId="0" borderId="23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51" xfId="0" applyNumberFormat="1" applyBorder="1" applyAlignment="1">
      <alignment horizontal="center" vertical="center" wrapText="1"/>
    </xf>
    <xf numFmtId="0" fontId="0" fillId="0" borderId="70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0" fontId="11" fillId="0" borderId="11" xfId="0" applyFont="1" applyBorder="1" applyAlignment="1">
      <alignment wrapText="1"/>
    </xf>
    <xf numFmtId="0" fontId="12" fillId="2" borderId="71" xfId="0" applyFont="1" applyFill="1" applyBorder="1" applyAlignment="1">
      <alignment horizontal="center" wrapText="1"/>
    </xf>
    <xf numFmtId="0" fontId="12" fillId="2" borderId="72" xfId="0" applyFont="1" applyFill="1" applyBorder="1" applyAlignment="1">
      <alignment horizontal="center" wrapText="1"/>
    </xf>
    <xf numFmtId="0" fontId="12" fillId="2" borderId="73" xfId="0" applyFont="1" applyFill="1" applyBorder="1" applyAlignment="1">
      <alignment horizontal="center" wrapText="1"/>
    </xf>
    <xf numFmtId="0" fontId="6" fillId="2" borderId="74" xfId="0" applyFont="1" applyFill="1" applyBorder="1" applyAlignment="1">
      <alignment horizontal="center" wrapText="1"/>
    </xf>
    <xf numFmtId="0" fontId="6" fillId="2" borderId="75" xfId="0" applyFont="1" applyFill="1" applyBorder="1" applyAlignment="1">
      <alignment horizontal="center" wrapText="1"/>
    </xf>
    <xf numFmtId="0" fontId="6" fillId="2" borderId="76" xfId="0" applyFont="1" applyFill="1" applyBorder="1" applyAlignment="1">
      <alignment horizontal="center" wrapText="1"/>
    </xf>
    <xf numFmtId="0" fontId="6" fillId="2" borderId="77" xfId="0" applyFont="1" applyFill="1" applyBorder="1" applyAlignment="1">
      <alignment horizontal="center" wrapText="1"/>
    </xf>
    <xf numFmtId="0" fontId="2" fillId="3" borderId="78" xfId="0" applyFont="1" applyFill="1" applyBorder="1" applyAlignment="1">
      <alignment horizontal="center" wrapText="1"/>
    </xf>
    <xf numFmtId="0" fontId="2" fillId="3" borderId="79" xfId="0" applyFont="1" applyFill="1" applyBorder="1" applyAlignment="1">
      <alignment horizontal="center" wrapText="1"/>
    </xf>
    <xf numFmtId="0" fontId="2" fillId="3" borderId="80" xfId="0" applyFont="1" applyFill="1" applyBorder="1" applyAlignment="1">
      <alignment horizontal="center" wrapText="1"/>
    </xf>
    <xf numFmtId="0" fontId="12" fillId="0" borderId="81" xfId="0" applyFont="1" applyBorder="1" applyAlignment="1">
      <alignment horizontal="center" wrapText="1"/>
    </xf>
    <xf numFmtId="0" fontId="12" fillId="0" borderId="82" xfId="0" applyFont="1" applyBorder="1" applyAlignment="1">
      <alignment horizontal="center" wrapText="1"/>
    </xf>
    <xf numFmtId="0" fontId="12" fillId="0" borderId="83" xfId="0" applyFont="1" applyBorder="1" applyAlignment="1">
      <alignment horizontal="center" wrapText="1"/>
    </xf>
    <xf numFmtId="0" fontId="12" fillId="0" borderId="86" xfId="0" applyFont="1" applyBorder="1" applyAlignment="1">
      <alignment horizontal="center" wrapText="1"/>
    </xf>
    <xf numFmtId="0" fontId="0" fillId="0" borderId="6" xfId="0" applyBorder="1"/>
    <xf numFmtId="0" fontId="12" fillId="0" borderId="91" xfId="0" applyFont="1" applyBorder="1" applyAlignment="1">
      <alignment horizontal="center" wrapText="1"/>
    </xf>
    <xf numFmtId="0" fontId="12" fillId="0" borderId="89" xfId="0" applyFont="1" applyBorder="1" applyAlignment="1">
      <alignment horizontal="center" wrapText="1"/>
    </xf>
    <xf numFmtId="0" fontId="12" fillId="0" borderId="92" xfId="0" applyFont="1" applyBorder="1" applyAlignment="1">
      <alignment horizontal="center" wrapText="1"/>
    </xf>
    <xf numFmtId="0" fontId="5" fillId="0" borderId="92" xfId="0" applyFont="1" applyBorder="1"/>
    <xf numFmtId="0" fontId="13" fillId="0" borderId="103" xfId="0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34" xfId="0" applyFont="1" applyBorder="1" applyAlignment="1">
      <alignment horizontal="center" wrapText="1"/>
    </xf>
    <xf numFmtId="0" fontId="6" fillId="0" borderId="0" xfId="0" applyFont="1"/>
    <xf numFmtId="0" fontId="0" fillId="0" borderId="12" xfId="0" applyBorder="1"/>
    <xf numFmtId="0" fontId="0" fillId="0" borderId="27" xfId="0" applyBorder="1" applyAlignment="1">
      <alignment horizontal="center" wrapText="1"/>
    </xf>
    <xf numFmtId="0" fontId="0" fillId="0" borderId="90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13" fillId="0" borderId="6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5" fillId="0" borderId="35" xfId="0" applyFont="1" applyBorder="1" applyAlignment="1">
      <alignment horizontal="center" wrapText="1"/>
    </xf>
    <xf numFmtId="0" fontId="5" fillId="0" borderId="24" xfId="0" applyFont="1" applyBorder="1" applyAlignment="1">
      <alignment horizontal="center" wrapText="1"/>
    </xf>
    <xf numFmtId="0" fontId="13" fillId="0" borderId="62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13" fillId="0" borderId="63" xfId="0" applyFont="1" applyBorder="1" applyAlignment="1">
      <alignment horizontal="center" wrapText="1"/>
    </xf>
    <xf numFmtId="0" fontId="13" fillId="0" borderId="102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13" fillId="0" borderId="64" xfId="0" applyFont="1" applyBorder="1" applyAlignment="1">
      <alignment horizontal="center" wrapText="1"/>
    </xf>
    <xf numFmtId="0" fontId="13" fillId="0" borderId="65" xfId="0" applyFont="1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5" fillId="0" borderId="65" xfId="0" applyFont="1" applyBorder="1" applyAlignment="1">
      <alignment horizontal="center" wrapText="1"/>
    </xf>
    <xf numFmtId="0" fontId="5" fillId="0" borderId="22" xfId="0" applyFont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3" fillId="0" borderId="101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2" fillId="0" borderId="90" xfId="0" applyFont="1" applyBorder="1" applyAlignment="1">
      <alignment horizontal="center" wrapText="1"/>
    </xf>
    <xf numFmtId="0" fontId="12" fillId="0" borderId="31" xfId="0" applyFont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12" fillId="0" borderId="39" xfId="0" applyFont="1" applyBorder="1" applyAlignment="1">
      <alignment horizontal="center" wrapText="1"/>
    </xf>
    <xf numFmtId="0" fontId="12" fillId="0" borderId="104" xfId="0" applyFont="1" applyBorder="1" applyAlignment="1">
      <alignment horizontal="center" wrapText="1"/>
    </xf>
    <xf numFmtId="0" fontId="11" fillId="0" borderId="11" xfId="0" applyFont="1" applyBorder="1" applyAlignment="1">
      <alignment horizontal="center" wrapText="1"/>
    </xf>
    <xf numFmtId="0" fontId="0" fillId="0" borderId="68" xfId="0" applyBorder="1" applyAlignment="1">
      <alignment horizontal="center" wrapText="1"/>
    </xf>
    <xf numFmtId="0" fontId="13" fillId="0" borderId="28" xfId="0" applyFont="1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13" fillId="0" borderId="15" xfId="0" applyFont="1" applyBorder="1" applyAlignment="1">
      <alignment horizontal="center" wrapText="1"/>
    </xf>
    <xf numFmtId="0" fontId="12" fillId="0" borderId="70" xfId="0" applyFont="1" applyBorder="1" applyAlignment="1">
      <alignment horizontal="center" wrapText="1"/>
    </xf>
    <xf numFmtId="0" fontId="0" fillId="0" borderId="11" xfId="69" applyFont="1" applyFill="1" applyBorder="1" applyAlignment="1">
      <alignment horizontal="center" wrapText="1"/>
    </xf>
    <xf numFmtId="0" fontId="0" fillId="0" borderId="69" xfId="0" applyBorder="1" applyAlignment="1">
      <alignment horizontal="center" wrapText="1"/>
    </xf>
    <xf numFmtId="0" fontId="12" fillId="0" borderId="69" xfId="0" applyFont="1" applyBorder="1" applyAlignment="1">
      <alignment horizontal="center" wrapText="1"/>
    </xf>
    <xf numFmtId="0" fontId="12" fillId="0" borderId="85" xfId="0" applyFont="1" applyBorder="1" applyAlignment="1">
      <alignment horizontal="center" wrapText="1"/>
    </xf>
    <xf numFmtId="0" fontId="12" fillId="0" borderId="87" xfId="0" applyFont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2" fillId="0" borderId="21" xfId="0" applyFont="1" applyBorder="1" applyAlignment="1">
      <alignment horizontal="center" wrapText="1"/>
    </xf>
    <xf numFmtId="0" fontId="11" fillId="0" borderId="67" xfId="0" applyFont="1" applyBorder="1" applyAlignment="1">
      <alignment horizontal="center" wrapText="1"/>
    </xf>
    <xf numFmtId="0" fontId="12" fillId="0" borderId="22" xfId="0" applyFont="1" applyBorder="1" applyAlignment="1">
      <alignment horizontal="center" wrapText="1"/>
    </xf>
    <xf numFmtId="0" fontId="12" fillId="0" borderId="88" xfId="0" applyFont="1" applyBorder="1" applyAlignment="1">
      <alignment horizontal="center" wrapText="1"/>
    </xf>
    <xf numFmtId="0" fontId="12" fillId="5" borderId="11" xfId="0" applyFont="1" applyFill="1" applyBorder="1" applyAlignment="1">
      <alignment horizontal="center" wrapText="1"/>
    </xf>
    <xf numFmtId="0" fontId="12" fillId="5" borderId="34" xfId="0" applyFont="1" applyFill="1" applyBorder="1" applyAlignment="1">
      <alignment horizontal="center" wrapText="1"/>
    </xf>
    <xf numFmtId="0" fontId="12" fillId="5" borderId="28" xfId="0" applyFont="1" applyFill="1" applyBorder="1" applyAlignment="1">
      <alignment horizontal="center" wrapText="1"/>
    </xf>
    <xf numFmtId="0" fontId="0" fillId="5" borderId="11" xfId="0" applyFill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1" fillId="0" borderId="0" xfId="0" applyFont="1"/>
    <xf numFmtId="0" fontId="22" fillId="6" borderId="0" xfId="0" applyFont="1" applyFill="1" applyAlignment="1">
      <alignment horizontal="center"/>
    </xf>
    <xf numFmtId="0" fontId="22" fillId="7" borderId="0" xfId="0" applyFont="1" applyFill="1" applyAlignment="1">
      <alignment horizontal="left"/>
    </xf>
    <xf numFmtId="0" fontId="2" fillId="7" borderId="0" xfId="0" applyFont="1" applyFill="1" applyAlignment="1">
      <alignment horizontal="left" wrapText="1"/>
    </xf>
    <xf numFmtId="0" fontId="0" fillId="8" borderId="0" xfId="0" applyFill="1" applyAlignment="1">
      <alignment horizontal="center"/>
    </xf>
    <xf numFmtId="0" fontId="5" fillId="8" borderId="91" xfId="0" applyFont="1" applyFill="1" applyBorder="1" applyAlignment="1">
      <alignment horizontal="center" wrapText="1"/>
    </xf>
    <xf numFmtId="0" fontId="12" fillId="8" borderId="91" xfId="0" applyFont="1" applyFill="1" applyBorder="1" applyAlignment="1">
      <alignment horizontal="center" wrapText="1"/>
    </xf>
    <xf numFmtId="0" fontId="5" fillId="8" borderId="94" xfId="0" applyFont="1" applyFill="1" applyBorder="1" applyAlignment="1">
      <alignment horizontal="center" wrapText="1"/>
    </xf>
    <xf numFmtId="0" fontId="5" fillId="8" borderId="95" xfId="0" applyFont="1" applyFill="1" applyBorder="1" applyAlignment="1">
      <alignment horizontal="center" wrapText="1"/>
    </xf>
    <xf numFmtId="0" fontId="5" fillId="8" borderId="96" xfId="0" applyFont="1" applyFill="1" applyBorder="1" applyAlignment="1">
      <alignment horizontal="center" wrapText="1"/>
    </xf>
    <xf numFmtId="0" fontId="5" fillId="8" borderId="0" xfId="0" applyFont="1" applyFill="1" applyAlignment="1">
      <alignment horizontal="center"/>
    </xf>
    <xf numFmtId="0" fontId="12" fillId="8" borderId="84" xfId="0" applyFont="1" applyFill="1" applyBorder="1" applyAlignment="1">
      <alignment horizontal="center" wrapText="1"/>
    </xf>
    <xf numFmtId="0" fontId="12" fillId="8" borderId="85" xfId="0" applyFont="1" applyFill="1" applyBorder="1" applyAlignment="1">
      <alignment horizontal="center" wrapText="1"/>
    </xf>
    <xf numFmtId="0" fontId="0" fillId="8" borderId="0" xfId="0" applyFill="1" applyAlignment="1">
      <alignment horizontal="center" wrapText="1"/>
    </xf>
    <xf numFmtId="0" fontId="0" fillId="9" borderId="0" xfId="0" applyFill="1" applyAlignment="1">
      <alignment horizontal="center"/>
    </xf>
    <xf numFmtId="0" fontId="24" fillId="0" borderId="0" xfId="0" applyFont="1"/>
    <xf numFmtId="0" fontId="7" fillId="0" borderId="0" xfId="134" applyAlignment="1">
      <alignment horizontal="left"/>
    </xf>
    <xf numFmtId="0" fontId="0" fillId="5" borderId="0" xfId="0" applyFill="1"/>
    <xf numFmtId="0" fontId="0" fillId="10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0" xfId="0" applyFill="1"/>
    <xf numFmtId="0" fontId="25" fillId="0" borderId="84" xfId="0" applyFont="1" applyBorder="1" applyAlignment="1">
      <alignment horizontal="center" wrapText="1"/>
    </xf>
    <xf numFmtId="0" fontId="25" fillId="0" borderId="93" xfId="0" applyFont="1" applyBorder="1" applyAlignment="1">
      <alignment horizontal="center" wrapText="1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8" fillId="8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/>
    <xf numFmtId="0" fontId="31" fillId="0" borderId="0" xfId="0" applyFont="1"/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22" fillId="6" borderId="0" xfId="0" applyFont="1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0" borderId="0" xfId="0" applyFill="1" applyAlignment="1">
      <alignment horizontal="center" wrapText="1"/>
    </xf>
    <xf numFmtId="0" fontId="32" fillId="0" borderId="0" xfId="0" applyFont="1" applyAlignment="1">
      <alignment horizontal="center" wrapText="1"/>
    </xf>
    <xf numFmtId="0" fontId="7" fillId="0" borderId="0" xfId="134" applyAlignment="1">
      <alignment horizontal="left" wrapText="1"/>
    </xf>
    <xf numFmtId="0" fontId="33" fillId="0" borderId="0" xfId="0" applyFont="1" applyAlignment="1">
      <alignment horizontal="center"/>
    </xf>
    <xf numFmtId="0" fontId="33" fillId="8" borderId="0" xfId="0" applyFont="1" applyFill="1" applyAlignment="1">
      <alignment horizontal="center"/>
    </xf>
    <xf numFmtId="0" fontId="33" fillId="0" borderId="0" xfId="0" applyFont="1" applyAlignment="1">
      <alignment horizontal="center" wrapText="1"/>
    </xf>
    <xf numFmtId="0" fontId="33" fillId="8" borderId="0" xfId="0" applyFon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33" fillId="0" borderId="0" xfId="0" quotePrefix="1" applyFont="1" applyAlignment="1">
      <alignment horizontal="center" wrapText="1"/>
    </xf>
    <xf numFmtId="0" fontId="35" fillId="0" borderId="0" xfId="0" applyFont="1" applyAlignment="1">
      <alignment horizontal="center" wrapText="1"/>
    </xf>
    <xf numFmtId="0" fontId="36" fillId="0" borderId="0" xfId="0" applyFont="1" applyAlignment="1">
      <alignment horizontal="center"/>
    </xf>
    <xf numFmtId="0" fontId="34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center" wrapText="1"/>
    </xf>
    <xf numFmtId="0" fontId="39" fillId="0" borderId="0" xfId="0" quotePrefix="1" applyFont="1" applyAlignment="1">
      <alignment horizontal="center"/>
    </xf>
    <xf numFmtId="0" fontId="33" fillId="5" borderId="0" xfId="0" applyFont="1" applyFill="1" applyAlignment="1">
      <alignment horizontal="center" wrapText="1"/>
    </xf>
    <xf numFmtId="0" fontId="41" fillId="0" borderId="0" xfId="0" applyFont="1"/>
    <xf numFmtId="0" fontId="0" fillId="11" borderId="0" xfId="0" applyFill="1" applyAlignment="1">
      <alignment horizontal="center"/>
    </xf>
    <xf numFmtId="0" fontId="12" fillId="12" borderId="41" xfId="0" applyFont="1" applyFill="1" applyBorder="1" applyAlignment="1">
      <alignment horizontal="center" wrapText="1"/>
    </xf>
    <xf numFmtId="0" fontId="12" fillId="12" borderId="23" xfId="0" applyFont="1" applyFill="1" applyBorder="1" applyAlignment="1">
      <alignment horizontal="center" wrapText="1"/>
    </xf>
    <xf numFmtId="0" fontId="12" fillId="12" borderId="24" xfId="0" applyFont="1" applyFill="1" applyBorder="1" applyAlignment="1">
      <alignment horizontal="center" wrapText="1"/>
    </xf>
    <xf numFmtId="0" fontId="12" fillId="12" borderId="26" xfId="0" applyFont="1" applyFill="1" applyBorder="1" applyAlignment="1">
      <alignment horizontal="center" wrapText="1"/>
    </xf>
    <xf numFmtId="0" fontId="12" fillId="12" borderId="12" xfId="0" applyFont="1" applyFill="1" applyBorder="1" applyAlignment="1">
      <alignment horizontal="center" wrapText="1"/>
    </xf>
    <xf numFmtId="0" fontId="12" fillId="12" borderId="11" xfId="0" applyFont="1" applyFill="1" applyBorder="1" applyAlignment="1">
      <alignment horizontal="center" wrapText="1"/>
    </xf>
    <xf numFmtId="0" fontId="12" fillId="12" borderId="36" xfId="0" applyFont="1" applyFill="1" applyBorder="1" applyAlignment="1">
      <alignment horizontal="center" wrapText="1"/>
    </xf>
    <xf numFmtId="0" fontId="12" fillId="13" borderId="30" xfId="0" applyFont="1" applyFill="1" applyBorder="1" applyAlignment="1">
      <alignment horizontal="center" wrapText="1"/>
    </xf>
    <xf numFmtId="0" fontId="12" fillId="13" borderId="21" xfId="0" applyFont="1" applyFill="1" applyBorder="1" applyAlignment="1">
      <alignment horizontal="center" wrapText="1"/>
    </xf>
    <xf numFmtId="0" fontId="12" fillId="13" borderId="16" xfId="0" applyFont="1" applyFill="1" applyBorder="1" applyAlignment="1">
      <alignment horizontal="center" wrapText="1"/>
    </xf>
    <xf numFmtId="0" fontId="12" fillId="13" borderId="23" xfId="0" applyFont="1" applyFill="1" applyBorder="1" applyAlignment="1">
      <alignment horizontal="center" wrapText="1"/>
    </xf>
    <xf numFmtId="0" fontId="12" fillId="13" borderId="20" xfId="0" applyFont="1" applyFill="1" applyBorder="1" applyAlignment="1">
      <alignment horizontal="center" wrapText="1"/>
    </xf>
    <xf numFmtId="0" fontId="12" fillId="13" borderId="5" xfId="0" applyFont="1" applyFill="1" applyBorder="1" applyAlignment="1">
      <alignment horizontal="center" wrapText="1"/>
    </xf>
    <xf numFmtId="0" fontId="12" fillId="11" borderId="23" xfId="0" applyFont="1" applyFill="1" applyBorder="1" applyAlignment="1">
      <alignment horizontal="center" wrapText="1"/>
    </xf>
    <xf numFmtId="0" fontId="0" fillId="13" borderId="0" xfId="0" applyFill="1"/>
    <xf numFmtId="0" fontId="12" fillId="13" borderId="19" xfId="0" applyFont="1" applyFill="1" applyBorder="1" applyAlignment="1">
      <alignment horizontal="center" wrapText="1"/>
    </xf>
    <xf numFmtId="0" fontId="12" fillId="13" borderId="18" xfId="0" applyFont="1" applyFill="1" applyBorder="1" applyAlignment="1">
      <alignment horizontal="center" wrapText="1"/>
    </xf>
    <xf numFmtId="0" fontId="12" fillId="13" borderId="98" xfId="0" applyFont="1" applyFill="1" applyBorder="1" applyAlignment="1">
      <alignment horizontal="center" wrapText="1"/>
    </xf>
    <xf numFmtId="0" fontId="12" fillId="14" borderId="100" xfId="0" applyFont="1" applyFill="1" applyBorder="1" applyAlignment="1">
      <alignment horizontal="center" wrapText="1"/>
    </xf>
    <xf numFmtId="0" fontId="12" fillId="14" borderId="28" xfId="0" applyFont="1" applyFill="1" applyBorder="1" applyAlignment="1">
      <alignment horizontal="center" wrapText="1"/>
    </xf>
    <xf numFmtId="0" fontId="12" fillId="11" borderId="99" xfId="0" applyFont="1" applyFill="1" applyBorder="1" applyAlignment="1">
      <alignment horizontal="center" wrapText="1"/>
    </xf>
    <xf numFmtId="0" fontId="12" fillId="11" borderId="30" xfId="0" applyFont="1" applyFill="1" applyBorder="1" applyAlignment="1">
      <alignment horizontal="center" wrapText="1"/>
    </xf>
    <xf numFmtId="0" fontId="12" fillId="15" borderId="100" xfId="0" applyFont="1" applyFill="1" applyBorder="1" applyAlignment="1">
      <alignment horizontal="center" wrapText="1"/>
    </xf>
    <xf numFmtId="0" fontId="12" fillId="15" borderId="5" xfId="0" applyFont="1" applyFill="1" applyBorder="1" applyAlignment="1">
      <alignment horizontal="center" wrapText="1"/>
    </xf>
    <xf numFmtId="0" fontId="6" fillId="15" borderId="11" xfId="0" applyFont="1" applyFill="1" applyBorder="1" applyAlignment="1">
      <alignment horizontal="center"/>
    </xf>
    <xf numFmtId="0" fontId="5" fillId="15" borderId="11" xfId="0" applyFont="1" applyFill="1" applyBorder="1" applyAlignment="1">
      <alignment horizontal="center"/>
    </xf>
    <xf numFmtId="0" fontId="12" fillId="15" borderId="104" xfId="0" applyFont="1" applyFill="1" applyBorder="1" applyAlignment="1">
      <alignment horizontal="center" wrapText="1"/>
    </xf>
    <xf numFmtId="0" fontId="5" fillId="13" borderId="92" xfId="0" applyFont="1" applyFill="1" applyBorder="1" applyAlignment="1">
      <alignment horizontal="center" wrapText="1"/>
    </xf>
    <xf numFmtId="0" fontId="5" fillId="15" borderId="92" xfId="0" applyFont="1" applyFill="1" applyBorder="1" applyAlignment="1">
      <alignment horizontal="center" wrapText="1"/>
    </xf>
    <xf numFmtId="0" fontId="5" fillId="15" borderId="97" xfId="0" applyFont="1" applyFill="1" applyBorder="1" applyAlignment="1">
      <alignment horizontal="center" wrapText="1"/>
    </xf>
    <xf numFmtId="0" fontId="0" fillId="9" borderId="38" xfId="0" applyFill="1" applyBorder="1" applyAlignment="1">
      <alignment horizontal="center" wrapText="1"/>
    </xf>
    <xf numFmtId="0" fontId="0" fillId="9" borderId="23" xfId="0" applyFill="1" applyBorder="1" applyAlignment="1">
      <alignment horizontal="center" wrapText="1"/>
    </xf>
    <xf numFmtId="0" fontId="0" fillId="9" borderId="11" xfId="0" applyFill="1" applyBorder="1" applyAlignment="1">
      <alignment horizontal="center" wrapText="1"/>
    </xf>
    <xf numFmtId="0" fontId="0" fillId="9" borderId="21" xfId="0" applyFill="1" applyBorder="1" applyAlignment="1">
      <alignment horizontal="center" wrapText="1"/>
    </xf>
    <xf numFmtId="0" fontId="0" fillId="16" borderId="39" xfId="0" applyFill="1" applyBorder="1" applyAlignment="1">
      <alignment horizontal="center" wrapText="1"/>
    </xf>
    <xf numFmtId="0" fontId="0" fillId="16" borderId="38" xfId="0" applyFill="1" applyBorder="1" applyAlignment="1">
      <alignment horizontal="center" wrapText="1"/>
    </xf>
    <xf numFmtId="0" fontId="0" fillId="16" borderId="0" xfId="0" applyFill="1"/>
    <xf numFmtId="0" fontId="0" fillId="5" borderId="38" xfId="0" applyFill="1" applyBorder="1" applyAlignment="1">
      <alignment horizontal="center" wrapText="1"/>
    </xf>
    <xf numFmtId="0" fontId="0" fillId="16" borderId="37" xfId="0" applyFill="1" applyBorder="1" applyAlignment="1">
      <alignment horizontal="center" wrapText="1"/>
    </xf>
    <xf numFmtId="0" fontId="38" fillId="0" borderId="4" xfId="0" applyFont="1" applyBorder="1" applyAlignment="1">
      <alignment horizontal="center" wrapText="1"/>
    </xf>
    <xf numFmtId="0" fontId="9" fillId="0" borderId="0" xfId="0" applyFont="1" applyAlignment="1">
      <alignment horizontal="left"/>
    </xf>
    <xf numFmtId="0" fontId="15" fillId="0" borderId="1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15" fontId="15" fillId="2" borderId="60" xfId="0" applyNumberFormat="1" applyFont="1" applyFill="1" applyBorder="1" applyAlignment="1">
      <alignment horizontal="right" vertical="center"/>
    </xf>
    <xf numFmtId="0" fontId="0" fillId="0" borderId="3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</cellXfs>
  <cellStyles count="1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/>
    <cellStyle name="Normal" xfId="0" builtinId="0"/>
    <cellStyle name="Note" xfId="69" builtinId="1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tefanx/Dropbox/Documents/Projects/CORDEX/FPS_EuroMed/Model_protocol_docs/Variables/CORDEX_FPS_variables_requirement_table_3001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3hr"/>
      <sheetName val="6hr"/>
      <sheetName val="day"/>
      <sheetName val="mon"/>
      <sheetName val="sem"/>
      <sheetName val="fx"/>
      <sheetName val="Global attributes"/>
      <sheetName val="CV"/>
      <sheetName val="FPS-Convection"/>
    </sheetNames>
    <sheetDataSet>
      <sheetData sheetId="0">
        <row r="5">
          <cell r="R5" t="str">
            <v>10 Feb 2014 Version 3.1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kgoergen kgoergen" id="{D40E3F5B-CA5E-8841-A297-F8A10541B52C}" userId="7234bfa9f611c1e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67" dT="2023-11-06T11:42:56.02" personId="{D40E3F5B-CA5E-8841-A297-F8A10541B52C}" id="{0684425E-DB31-4147-970E-869B2126AB53}">
    <text xml:space="preserve">time: point at 1hr
</text>
  </threadedComment>
  <threadedComment ref="T68" dT="2023-11-06T11:43:06.50" personId="{D40E3F5B-CA5E-8841-A297-F8A10541B52C}" id="{9AA36D04-5035-B645-870C-1A69F53AA0AF}">
    <text>time: point at 1hr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docs.google.com/spreadsheets/d/1qttqjJ9wmMTHWpSYdOMYArMQ-i12MhGY/edit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58"/>
  <sheetViews>
    <sheetView topLeftCell="J1" zoomScaleNormal="100" zoomScalePageLayoutView="125" workbookViewId="0">
      <pane ySplit="3" topLeftCell="A67" activePane="bottomLeft" state="frozen"/>
      <selection pane="bottomLeft" activeCell="Z4" sqref="Z4"/>
    </sheetView>
  </sheetViews>
  <sheetFormatPr baseColWidth="10" defaultRowHeight="16"/>
  <cols>
    <col min="1" max="6" width="25" style="56" hidden="1" customWidth="1"/>
    <col min="7" max="7" width="25" style="7" hidden="1" customWidth="1"/>
    <col min="8" max="9" width="25" style="56" hidden="1" customWidth="1"/>
    <col min="10" max="10" width="13" customWidth="1"/>
    <col min="11" max="12" width="10.83203125" hidden="1" customWidth="1"/>
    <col min="13" max="13" width="13" hidden="1" customWidth="1"/>
    <col min="14" max="14" width="11.83203125" hidden="1" customWidth="1"/>
    <col min="15" max="15" width="10.83203125" hidden="1" customWidth="1"/>
    <col min="16" max="16" width="23.6640625" hidden="1" customWidth="1"/>
    <col min="17" max="17" width="32.1640625" customWidth="1"/>
    <col min="18" max="22" width="23.6640625" hidden="1" customWidth="1"/>
    <col min="26" max="27" width="10" style="10" customWidth="1"/>
    <col min="28" max="28" width="18.83203125" customWidth="1"/>
  </cols>
  <sheetData>
    <row r="1" spans="1:28" ht="17">
      <c r="A1" s="206" t="s">
        <v>444</v>
      </c>
      <c r="B1" s="206"/>
      <c r="C1" s="206"/>
      <c r="D1" s="206"/>
      <c r="E1" s="206"/>
      <c r="F1" s="206"/>
      <c r="G1" s="237"/>
      <c r="H1" s="206"/>
      <c r="I1" s="206"/>
      <c r="J1" s="207" t="s">
        <v>445</v>
      </c>
      <c r="K1" s="208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AB1" s="3" t="s">
        <v>404</v>
      </c>
    </row>
    <row r="2" spans="1:28" ht="17" thickBot="1">
      <c r="A2" s="56" t="s">
        <v>415</v>
      </c>
      <c r="J2" s="146" t="s">
        <v>403</v>
      </c>
      <c r="W2" t="s">
        <v>627</v>
      </c>
      <c r="AB2" s="4"/>
    </row>
    <row r="3" spans="1:28" ht="169">
      <c r="A3" s="11" t="s">
        <v>441</v>
      </c>
      <c r="B3" s="11" t="s">
        <v>442</v>
      </c>
      <c r="C3" s="11" t="s">
        <v>443</v>
      </c>
      <c r="D3" s="11" t="s">
        <v>487</v>
      </c>
      <c r="E3" s="11" t="s">
        <v>446</v>
      </c>
      <c r="F3" s="11" t="s">
        <v>464</v>
      </c>
      <c r="G3" s="11" t="s">
        <v>622</v>
      </c>
      <c r="H3" s="11" t="s">
        <v>623</v>
      </c>
      <c r="I3" s="11" t="s">
        <v>603</v>
      </c>
      <c r="J3" s="123" t="s">
        <v>4</v>
      </c>
      <c r="K3" s="124" t="s">
        <v>84</v>
      </c>
      <c r="L3" s="125" t="s">
        <v>377</v>
      </c>
      <c r="M3" s="125" t="s">
        <v>376</v>
      </c>
      <c r="N3" s="125" t="s">
        <v>375</v>
      </c>
      <c r="O3" s="125" t="s">
        <v>85</v>
      </c>
      <c r="P3" s="126" t="s">
        <v>83</v>
      </c>
      <c r="Q3" s="127" t="s">
        <v>82</v>
      </c>
      <c r="R3" s="126" t="s">
        <v>96</v>
      </c>
      <c r="S3" s="128" t="s">
        <v>103</v>
      </c>
      <c r="T3" s="128" t="s">
        <v>362</v>
      </c>
      <c r="U3" s="128" t="s">
        <v>100</v>
      </c>
      <c r="V3" s="129" t="s">
        <v>97</v>
      </c>
      <c r="W3" s="130" t="s">
        <v>0</v>
      </c>
      <c r="X3" s="131" t="s">
        <v>1</v>
      </c>
      <c r="Y3" s="131" t="s">
        <v>2</v>
      </c>
      <c r="Z3" s="131" t="s">
        <v>3</v>
      </c>
      <c r="AA3" s="132" t="s">
        <v>148</v>
      </c>
    </row>
    <row r="4" spans="1:28" ht="34">
      <c r="A4" s="204">
        <v>1</v>
      </c>
      <c r="B4" s="204">
        <v>1</v>
      </c>
      <c r="C4" s="204"/>
      <c r="D4" s="204">
        <v>1</v>
      </c>
      <c r="E4" s="204"/>
      <c r="F4" s="204" t="s">
        <v>453</v>
      </c>
      <c r="G4" s="248" t="s">
        <v>500</v>
      </c>
      <c r="H4" s="229"/>
      <c r="I4" s="229"/>
      <c r="J4" s="133" t="s">
        <v>144</v>
      </c>
      <c r="K4" s="27" t="s">
        <v>107</v>
      </c>
      <c r="L4" s="143"/>
      <c r="M4" s="14" t="s">
        <v>380</v>
      </c>
      <c r="N4" s="143">
        <v>2</v>
      </c>
      <c r="O4" s="25"/>
      <c r="P4" s="5" t="s">
        <v>146</v>
      </c>
      <c r="Q4" s="5" t="s">
        <v>106</v>
      </c>
      <c r="R4" s="42"/>
      <c r="S4" s="42"/>
      <c r="T4" s="12" t="s">
        <v>363</v>
      </c>
      <c r="U4" s="137"/>
      <c r="V4" s="13" t="s">
        <v>115</v>
      </c>
      <c r="W4" s="28"/>
      <c r="X4" s="28"/>
      <c r="Y4" s="29"/>
      <c r="Z4" s="258" t="s">
        <v>7</v>
      </c>
      <c r="AA4" s="134"/>
    </row>
    <row r="5" spans="1:28" ht="34">
      <c r="A5" s="204">
        <v>1</v>
      </c>
      <c r="B5" s="204">
        <v>1</v>
      </c>
      <c r="C5" s="204"/>
      <c r="D5" s="204">
        <v>1</v>
      </c>
      <c r="E5" s="204"/>
      <c r="F5" s="204" t="s">
        <v>453</v>
      </c>
      <c r="G5" s="248" t="s">
        <v>501</v>
      </c>
      <c r="H5" s="229"/>
      <c r="I5" s="229"/>
      <c r="J5" s="133" t="s">
        <v>145</v>
      </c>
      <c r="K5" s="142" t="s">
        <v>107</v>
      </c>
      <c r="L5" s="121"/>
      <c r="M5" s="14" t="s">
        <v>380</v>
      </c>
      <c r="N5" s="121">
        <v>2</v>
      </c>
      <c r="O5" s="43"/>
      <c r="P5" s="5" t="s">
        <v>147</v>
      </c>
      <c r="Q5" s="5" t="s">
        <v>106</v>
      </c>
      <c r="R5" s="45"/>
      <c r="S5" s="44"/>
      <c r="T5" s="12" t="s">
        <v>364</v>
      </c>
      <c r="U5" s="16"/>
      <c r="V5" s="13" t="s">
        <v>115</v>
      </c>
      <c r="W5" s="43"/>
      <c r="X5" s="43"/>
      <c r="Y5" s="46"/>
      <c r="Z5" s="258" t="s">
        <v>7</v>
      </c>
      <c r="AA5" s="135"/>
    </row>
    <row r="6" spans="1:28" ht="34">
      <c r="A6" s="56">
        <v>1</v>
      </c>
      <c r="B6" s="56">
        <v>1</v>
      </c>
      <c r="D6" s="56">
        <v>1</v>
      </c>
      <c r="F6" s="56" t="s">
        <v>453</v>
      </c>
      <c r="G6" s="244" t="s">
        <v>499</v>
      </c>
      <c r="H6" s="252" t="s">
        <v>586</v>
      </c>
      <c r="I6" s="252"/>
      <c r="J6" s="138" t="s">
        <v>5</v>
      </c>
      <c r="K6" s="23" t="s">
        <v>107</v>
      </c>
      <c r="L6" s="121"/>
      <c r="M6" s="14" t="s">
        <v>380</v>
      </c>
      <c r="N6" s="121">
        <v>2</v>
      </c>
      <c r="O6" s="24" t="s">
        <v>101</v>
      </c>
      <c r="P6" s="12" t="s">
        <v>6</v>
      </c>
      <c r="Q6" s="5" t="s">
        <v>106</v>
      </c>
      <c r="R6" s="14"/>
      <c r="S6" s="19"/>
      <c r="T6" s="296" t="s">
        <v>317</v>
      </c>
      <c r="U6" s="16"/>
      <c r="V6" s="13" t="s">
        <v>115</v>
      </c>
      <c r="W6" s="270" t="s">
        <v>7</v>
      </c>
      <c r="X6" s="25"/>
      <c r="Y6" s="26"/>
      <c r="Z6" s="48"/>
      <c r="AA6" s="135"/>
    </row>
    <row r="7" spans="1:28" ht="34">
      <c r="A7" s="56">
        <v>1</v>
      </c>
      <c r="B7" s="56">
        <v>1</v>
      </c>
      <c r="D7" s="56">
        <v>1</v>
      </c>
      <c r="F7" s="56" t="s">
        <v>455</v>
      </c>
      <c r="G7" s="244" t="s">
        <v>509</v>
      </c>
      <c r="J7" s="138" t="s">
        <v>8</v>
      </c>
      <c r="K7" s="27" t="s">
        <v>107</v>
      </c>
      <c r="L7" s="121"/>
      <c r="M7" s="14" t="s">
        <v>380</v>
      </c>
      <c r="N7" s="121">
        <v>0</v>
      </c>
      <c r="O7" s="143" t="s">
        <v>101</v>
      </c>
      <c r="P7" s="6" t="s">
        <v>9</v>
      </c>
      <c r="Q7" s="20" t="s">
        <v>110</v>
      </c>
      <c r="R7" s="122" t="s">
        <v>111</v>
      </c>
      <c r="S7" s="20"/>
      <c r="T7" s="296" t="s">
        <v>317</v>
      </c>
      <c r="U7" s="16"/>
      <c r="V7" s="13" t="s">
        <v>115</v>
      </c>
      <c r="W7" s="270" t="s">
        <v>7</v>
      </c>
      <c r="X7" s="28"/>
      <c r="Y7" s="29"/>
      <c r="Z7" s="48"/>
      <c r="AA7" s="135"/>
    </row>
    <row r="8" spans="1:28" ht="17">
      <c r="A8" s="56">
        <v>1</v>
      </c>
      <c r="B8" s="56">
        <v>1</v>
      </c>
      <c r="D8" s="56">
        <v>1</v>
      </c>
      <c r="F8" s="56" t="s">
        <v>453</v>
      </c>
      <c r="G8" s="244" t="s">
        <v>571</v>
      </c>
      <c r="H8" s="252" t="s">
        <v>591</v>
      </c>
      <c r="I8" s="252"/>
      <c r="J8" s="138" t="s">
        <v>10</v>
      </c>
      <c r="K8" s="120" t="s">
        <v>108</v>
      </c>
      <c r="L8" s="14"/>
      <c r="M8" s="14" t="s">
        <v>380</v>
      </c>
      <c r="N8" s="14">
        <v>0</v>
      </c>
      <c r="O8" s="145" t="s">
        <v>102</v>
      </c>
      <c r="P8" s="6" t="s">
        <v>11</v>
      </c>
      <c r="Q8" s="20" t="s">
        <v>109</v>
      </c>
      <c r="R8" s="14"/>
      <c r="S8" s="21"/>
      <c r="T8" s="292" t="s">
        <v>318</v>
      </c>
      <c r="U8" s="16"/>
      <c r="V8" s="119" t="s">
        <v>115</v>
      </c>
      <c r="W8" s="267" t="s">
        <v>7</v>
      </c>
      <c r="X8" s="35"/>
      <c r="Y8" s="36"/>
      <c r="Z8" s="49" t="s">
        <v>12</v>
      </c>
      <c r="AA8" s="136"/>
    </row>
    <row r="9" spans="1:28" ht="119">
      <c r="A9" s="209"/>
      <c r="B9" s="209"/>
      <c r="C9" s="209"/>
      <c r="D9" s="209"/>
      <c r="E9" s="209"/>
      <c r="F9" s="209" t="s">
        <v>465</v>
      </c>
      <c r="G9" s="245" t="s">
        <v>512</v>
      </c>
      <c r="H9" s="209"/>
      <c r="I9" s="209"/>
      <c r="J9" s="210" t="s">
        <v>361</v>
      </c>
      <c r="K9" s="32" t="s">
        <v>114</v>
      </c>
      <c r="L9" s="121"/>
      <c r="M9" s="14" t="s">
        <v>380</v>
      </c>
      <c r="N9" s="121">
        <v>10</v>
      </c>
      <c r="O9" s="147"/>
      <c r="P9" s="5" t="s">
        <v>382</v>
      </c>
      <c r="Q9" s="12" t="s">
        <v>346</v>
      </c>
      <c r="R9" s="122" t="s">
        <v>411</v>
      </c>
      <c r="S9" s="16"/>
      <c r="T9" s="12" t="s">
        <v>363</v>
      </c>
      <c r="U9" s="16"/>
      <c r="V9" s="13" t="s">
        <v>115</v>
      </c>
      <c r="W9" s="282" t="s">
        <v>7</v>
      </c>
      <c r="X9" s="16"/>
      <c r="Y9" s="16"/>
      <c r="Z9" s="283" t="s">
        <v>7</v>
      </c>
      <c r="AA9" s="141"/>
    </row>
    <row r="10" spans="1:28" ht="34">
      <c r="A10" s="209"/>
      <c r="B10" s="209"/>
      <c r="C10" s="209" t="s">
        <v>480</v>
      </c>
      <c r="D10" s="209">
        <v>1</v>
      </c>
      <c r="E10" s="218" t="s">
        <v>448</v>
      </c>
      <c r="F10" s="218" t="s">
        <v>455</v>
      </c>
      <c r="G10" s="245" t="s">
        <v>527</v>
      </c>
      <c r="H10" s="218"/>
      <c r="I10" s="218"/>
      <c r="J10" s="211" t="s">
        <v>347</v>
      </c>
      <c r="K10" s="148" t="s">
        <v>114</v>
      </c>
      <c r="L10" s="14"/>
      <c r="M10" s="14" t="s">
        <v>380</v>
      </c>
      <c r="N10" s="14">
        <v>10</v>
      </c>
      <c r="O10" s="30"/>
      <c r="P10" s="6" t="s">
        <v>348</v>
      </c>
      <c r="Q10" s="20" t="s">
        <v>349</v>
      </c>
      <c r="R10" s="14"/>
      <c r="S10" s="149"/>
      <c r="T10" s="289" t="s">
        <v>363</v>
      </c>
      <c r="U10" s="16"/>
      <c r="V10" s="119" t="s">
        <v>115</v>
      </c>
      <c r="W10" s="34"/>
      <c r="X10" s="28"/>
      <c r="Y10" s="29"/>
      <c r="Z10" s="258" t="s">
        <v>7</v>
      </c>
      <c r="AA10" s="134"/>
    </row>
    <row r="11" spans="1:28" ht="34">
      <c r="A11" s="56">
        <v>1</v>
      </c>
      <c r="B11" s="56">
        <v>1</v>
      </c>
      <c r="D11" s="56">
        <v>1</v>
      </c>
      <c r="F11" s="56" t="s">
        <v>453</v>
      </c>
      <c r="G11" s="244" t="s">
        <v>566</v>
      </c>
      <c r="J11" s="138" t="s">
        <v>13</v>
      </c>
      <c r="K11" s="32" t="s">
        <v>114</v>
      </c>
      <c r="L11" s="121" t="s">
        <v>378</v>
      </c>
      <c r="M11" s="14" t="s">
        <v>380</v>
      </c>
      <c r="N11" s="121">
        <v>10</v>
      </c>
      <c r="O11" s="30" t="s">
        <v>101</v>
      </c>
      <c r="P11" s="6" t="s">
        <v>14</v>
      </c>
      <c r="Q11" s="14" t="s">
        <v>112</v>
      </c>
      <c r="R11" s="14"/>
      <c r="S11" s="20"/>
      <c r="T11" s="293" t="s">
        <v>317</v>
      </c>
      <c r="U11" s="16"/>
      <c r="V11" s="13" t="s">
        <v>115</v>
      </c>
      <c r="W11" s="270" t="s">
        <v>7</v>
      </c>
      <c r="X11" s="30"/>
      <c r="Y11" s="31"/>
      <c r="Z11" s="48"/>
      <c r="AA11" s="135"/>
    </row>
    <row r="12" spans="1:28" ht="34">
      <c r="A12" s="209"/>
      <c r="B12" s="209"/>
      <c r="C12" s="209"/>
      <c r="D12" s="209">
        <v>1</v>
      </c>
      <c r="E12" s="209"/>
      <c r="F12" s="209" t="s">
        <v>455</v>
      </c>
      <c r="G12" s="7" t="s">
        <v>581</v>
      </c>
      <c r="H12" s="209"/>
      <c r="I12" s="209"/>
      <c r="J12" s="211" t="s">
        <v>352</v>
      </c>
      <c r="K12" s="32" t="s">
        <v>114</v>
      </c>
      <c r="L12" s="121" t="s">
        <v>378</v>
      </c>
      <c r="M12" s="14" t="s">
        <v>380</v>
      </c>
      <c r="N12" s="121">
        <v>100</v>
      </c>
      <c r="O12" s="30" t="s">
        <v>101</v>
      </c>
      <c r="P12" s="8" t="s">
        <v>353</v>
      </c>
      <c r="Q12" s="14" t="s">
        <v>112</v>
      </c>
      <c r="R12" s="14" t="s">
        <v>325</v>
      </c>
      <c r="S12" s="20"/>
      <c r="T12" s="20" t="s">
        <v>317</v>
      </c>
      <c r="U12" s="16"/>
      <c r="V12" s="13" t="s">
        <v>115</v>
      </c>
      <c r="W12" s="281" t="s">
        <v>7</v>
      </c>
      <c r="X12" s="30"/>
      <c r="Y12" s="31"/>
      <c r="Z12" s="48"/>
      <c r="AA12" s="135"/>
    </row>
    <row r="13" spans="1:28" ht="17">
      <c r="A13" s="56">
        <v>1</v>
      </c>
      <c r="B13" s="56">
        <v>1</v>
      </c>
      <c r="D13" s="56">
        <v>1</v>
      </c>
      <c r="F13" s="56" t="s">
        <v>455</v>
      </c>
      <c r="G13" s="244" t="s">
        <v>492</v>
      </c>
      <c r="J13" s="138" t="s">
        <v>15</v>
      </c>
      <c r="K13" s="32" t="s">
        <v>114</v>
      </c>
      <c r="L13" s="121" t="s">
        <v>378</v>
      </c>
      <c r="M13" s="121" t="s">
        <v>379</v>
      </c>
      <c r="N13" s="121">
        <v>100000</v>
      </c>
      <c r="O13" s="30" t="s">
        <v>101</v>
      </c>
      <c r="P13" s="9" t="s">
        <v>16</v>
      </c>
      <c r="Q13" s="14" t="s">
        <v>112</v>
      </c>
      <c r="R13" s="14"/>
      <c r="S13" s="20"/>
      <c r="T13" s="288" t="s">
        <v>317</v>
      </c>
      <c r="U13" s="16"/>
      <c r="V13" s="13" t="s">
        <v>115</v>
      </c>
      <c r="W13" s="270"/>
      <c r="X13" s="263" t="s">
        <v>7</v>
      </c>
      <c r="Y13" s="31"/>
      <c r="Z13" s="48"/>
      <c r="AA13" s="135"/>
    </row>
    <row r="14" spans="1:28" ht="17">
      <c r="A14" s="56">
        <v>1</v>
      </c>
      <c r="B14" s="56">
        <v>1</v>
      </c>
      <c r="D14" s="56">
        <v>1</v>
      </c>
      <c r="F14" s="56" t="s">
        <v>455</v>
      </c>
      <c r="G14" s="244" t="s">
        <v>492</v>
      </c>
      <c r="J14" s="138" t="s">
        <v>405</v>
      </c>
      <c r="K14" s="32" t="s">
        <v>114</v>
      </c>
      <c r="L14" s="121" t="s">
        <v>378</v>
      </c>
      <c r="M14" s="121" t="s">
        <v>379</v>
      </c>
      <c r="N14" s="121">
        <v>92500</v>
      </c>
      <c r="O14" s="30" t="s">
        <v>101</v>
      </c>
      <c r="P14" s="17" t="s">
        <v>16</v>
      </c>
      <c r="Q14" s="14" t="s">
        <v>112</v>
      </c>
      <c r="R14" s="14"/>
      <c r="S14" s="20"/>
      <c r="T14" s="288" t="s">
        <v>317</v>
      </c>
      <c r="U14" s="16"/>
      <c r="V14" s="13" t="s">
        <v>115</v>
      </c>
      <c r="W14" s="270"/>
      <c r="X14" s="263" t="s">
        <v>7</v>
      </c>
      <c r="Y14" s="31"/>
      <c r="Z14" s="48"/>
      <c r="AA14" s="135"/>
    </row>
    <row r="15" spans="1:28" ht="17">
      <c r="A15" s="56">
        <v>1</v>
      </c>
      <c r="B15" s="56">
        <v>1</v>
      </c>
      <c r="D15" s="56">
        <v>1</v>
      </c>
      <c r="F15" s="56" t="s">
        <v>455</v>
      </c>
      <c r="G15" s="244" t="s">
        <v>492</v>
      </c>
      <c r="J15" s="138" t="s">
        <v>17</v>
      </c>
      <c r="K15" s="32" t="s">
        <v>114</v>
      </c>
      <c r="L15" s="121" t="s">
        <v>378</v>
      </c>
      <c r="M15" s="121" t="s">
        <v>379</v>
      </c>
      <c r="N15" s="121">
        <v>85000</v>
      </c>
      <c r="O15" s="30" t="s">
        <v>101</v>
      </c>
      <c r="P15" s="17" t="s">
        <v>16</v>
      </c>
      <c r="Q15" s="14" t="s">
        <v>112</v>
      </c>
      <c r="R15" s="14"/>
      <c r="S15" s="20"/>
      <c r="T15" s="288" t="s">
        <v>317</v>
      </c>
      <c r="U15" s="16"/>
      <c r="V15" s="13" t="s">
        <v>115</v>
      </c>
      <c r="W15" s="270"/>
      <c r="X15" s="263" t="s">
        <v>7</v>
      </c>
      <c r="Y15" s="31"/>
      <c r="Z15" s="48"/>
      <c r="AA15" s="135"/>
    </row>
    <row r="16" spans="1:28" ht="17">
      <c r="A16" s="56">
        <v>1</v>
      </c>
      <c r="B16" s="56">
        <v>1</v>
      </c>
      <c r="D16" s="56">
        <v>1</v>
      </c>
      <c r="F16" s="56" t="s">
        <v>455</v>
      </c>
      <c r="G16" s="244" t="s">
        <v>492</v>
      </c>
      <c r="J16" s="138" t="s">
        <v>18</v>
      </c>
      <c r="K16" s="32" t="s">
        <v>114</v>
      </c>
      <c r="L16" s="121" t="s">
        <v>378</v>
      </c>
      <c r="M16" s="121" t="s">
        <v>379</v>
      </c>
      <c r="N16" s="121">
        <v>70000</v>
      </c>
      <c r="O16" s="30" t="s">
        <v>101</v>
      </c>
      <c r="P16" s="17" t="s">
        <v>16</v>
      </c>
      <c r="Q16" s="14" t="s">
        <v>112</v>
      </c>
      <c r="R16" s="14"/>
      <c r="S16" s="20"/>
      <c r="T16" s="288" t="s">
        <v>317</v>
      </c>
      <c r="U16" s="16"/>
      <c r="V16" s="13" t="s">
        <v>115</v>
      </c>
      <c r="W16" s="270"/>
      <c r="X16" s="263" t="s">
        <v>7</v>
      </c>
      <c r="Y16" s="31"/>
      <c r="Z16" s="48"/>
      <c r="AA16" s="135"/>
    </row>
    <row r="17" spans="1:27" ht="17">
      <c r="A17" s="56">
        <v>1</v>
      </c>
      <c r="B17" s="56">
        <v>1</v>
      </c>
      <c r="D17" s="56">
        <v>1</v>
      </c>
      <c r="F17" s="56" t="s">
        <v>455</v>
      </c>
      <c r="G17" s="244" t="s">
        <v>492</v>
      </c>
      <c r="J17" s="138" t="s">
        <v>19</v>
      </c>
      <c r="K17" s="32" t="s">
        <v>114</v>
      </c>
      <c r="L17" s="121" t="s">
        <v>378</v>
      </c>
      <c r="M17" s="121" t="s">
        <v>379</v>
      </c>
      <c r="N17" s="121">
        <v>50000</v>
      </c>
      <c r="O17" s="30" t="s">
        <v>101</v>
      </c>
      <c r="P17" s="17" t="s">
        <v>16</v>
      </c>
      <c r="Q17" s="14" t="s">
        <v>112</v>
      </c>
      <c r="R17" s="14"/>
      <c r="S17" s="20"/>
      <c r="T17" s="288" t="s">
        <v>317</v>
      </c>
      <c r="U17" s="16"/>
      <c r="V17" s="13" t="s">
        <v>115</v>
      </c>
      <c r="W17" s="270"/>
      <c r="X17" s="263" t="s">
        <v>7</v>
      </c>
      <c r="Y17" s="31"/>
      <c r="Z17" s="48"/>
      <c r="AA17" s="135"/>
    </row>
    <row r="18" spans="1:27" ht="17">
      <c r="A18" s="56">
        <v>1</v>
      </c>
      <c r="B18" s="56">
        <v>1</v>
      </c>
      <c r="D18" s="56">
        <v>1</v>
      </c>
      <c r="G18" s="244" t="s">
        <v>492</v>
      </c>
      <c r="J18" s="138" t="s">
        <v>20</v>
      </c>
      <c r="K18" s="32" t="s">
        <v>114</v>
      </c>
      <c r="L18" s="121" t="s">
        <v>378</v>
      </c>
      <c r="M18" s="121" t="s">
        <v>379</v>
      </c>
      <c r="N18" s="121">
        <v>20000</v>
      </c>
      <c r="O18" s="30" t="s">
        <v>101</v>
      </c>
      <c r="P18" s="17" t="s">
        <v>16</v>
      </c>
      <c r="Q18" s="14" t="s">
        <v>112</v>
      </c>
      <c r="R18" s="14"/>
      <c r="S18" s="20"/>
      <c r="T18" s="288" t="s">
        <v>317</v>
      </c>
      <c r="U18" s="16"/>
      <c r="V18" s="13" t="s">
        <v>115</v>
      </c>
      <c r="W18" s="270"/>
      <c r="X18" s="263" t="s">
        <v>7</v>
      </c>
      <c r="Y18" s="31"/>
      <c r="Z18" s="48"/>
      <c r="AA18" s="135"/>
    </row>
    <row r="19" spans="1:27" ht="34">
      <c r="A19" s="56">
        <v>1</v>
      </c>
      <c r="B19" s="56">
        <v>1</v>
      </c>
      <c r="D19" s="56">
        <v>1</v>
      </c>
      <c r="F19" s="56" t="s">
        <v>453</v>
      </c>
      <c r="G19" s="244" t="s">
        <v>568</v>
      </c>
      <c r="J19" s="138" t="s">
        <v>21</v>
      </c>
      <c r="K19" s="32" t="s">
        <v>114</v>
      </c>
      <c r="L19" s="121" t="s">
        <v>378</v>
      </c>
      <c r="M19" s="14" t="s">
        <v>380</v>
      </c>
      <c r="N19" s="121">
        <v>10</v>
      </c>
      <c r="O19" s="30" t="s">
        <v>101</v>
      </c>
      <c r="P19" s="150" t="s">
        <v>22</v>
      </c>
      <c r="Q19" s="5" t="s">
        <v>113</v>
      </c>
      <c r="R19" s="14"/>
      <c r="S19" s="20"/>
      <c r="T19" s="293" t="s">
        <v>317</v>
      </c>
      <c r="U19" s="16"/>
      <c r="V19" s="13" t="s">
        <v>115</v>
      </c>
      <c r="W19" s="270" t="s">
        <v>7</v>
      </c>
      <c r="X19" s="30"/>
      <c r="Y19" s="31"/>
      <c r="Z19" s="48"/>
      <c r="AA19" s="135"/>
    </row>
    <row r="20" spans="1:27" ht="34">
      <c r="A20" s="209"/>
      <c r="B20" s="209"/>
      <c r="C20" s="209"/>
      <c r="D20" s="209">
        <v>1</v>
      </c>
      <c r="E20" s="209"/>
      <c r="F20" s="209" t="s">
        <v>455</v>
      </c>
      <c r="G20" s="7" t="s">
        <v>580</v>
      </c>
      <c r="H20" s="209"/>
      <c r="I20" s="209"/>
      <c r="J20" s="211" t="s">
        <v>350</v>
      </c>
      <c r="K20" s="32" t="s">
        <v>114</v>
      </c>
      <c r="L20" s="121" t="s">
        <v>378</v>
      </c>
      <c r="M20" s="14" t="s">
        <v>380</v>
      </c>
      <c r="N20" s="121">
        <v>100</v>
      </c>
      <c r="O20" s="30"/>
      <c r="P20" s="18" t="s">
        <v>351</v>
      </c>
      <c r="Q20" s="5" t="s">
        <v>113</v>
      </c>
      <c r="R20" s="14" t="s">
        <v>325</v>
      </c>
      <c r="S20" s="20"/>
      <c r="T20" s="20" t="s">
        <v>317</v>
      </c>
      <c r="U20" s="16"/>
      <c r="V20" s="13" t="s">
        <v>115</v>
      </c>
      <c r="W20" s="281" t="s">
        <v>7</v>
      </c>
      <c r="X20" s="30"/>
      <c r="Y20" s="31"/>
      <c r="Z20" s="48"/>
      <c r="AA20" s="135"/>
    </row>
    <row r="21" spans="1:27" ht="17">
      <c r="A21" s="56">
        <v>1</v>
      </c>
      <c r="B21" s="56">
        <v>1</v>
      </c>
      <c r="D21" s="56">
        <v>1</v>
      </c>
      <c r="F21" s="56" t="s">
        <v>455</v>
      </c>
      <c r="G21" s="244" t="s">
        <v>493</v>
      </c>
      <c r="J21" s="138" t="s">
        <v>23</v>
      </c>
      <c r="K21" s="32" t="s">
        <v>114</v>
      </c>
      <c r="L21" s="121" t="s">
        <v>378</v>
      </c>
      <c r="M21" s="121" t="s">
        <v>379</v>
      </c>
      <c r="N21" s="121">
        <v>100000</v>
      </c>
      <c r="O21" s="30" t="s">
        <v>101</v>
      </c>
      <c r="P21" s="6" t="s">
        <v>24</v>
      </c>
      <c r="Q21" s="5" t="s">
        <v>113</v>
      </c>
      <c r="R21" s="14"/>
      <c r="S21" s="20"/>
      <c r="T21" s="288" t="s">
        <v>317</v>
      </c>
      <c r="U21" s="16"/>
      <c r="V21" s="13" t="s">
        <v>115</v>
      </c>
      <c r="W21" s="270"/>
      <c r="X21" s="263" t="s">
        <v>7</v>
      </c>
      <c r="Y21" s="31"/>
      <c r="Z21" s="48"/>
      <c r="AA21" s="135"/>
    </row>
    <row r="22" spans="1:27" ht="17">
      <c r="A22" s="56">
        <v>1</v>
      </c>
      <c r="B22" s="56">
        <v>1</v>
      </c>
      <c r="D22" s="56">
        <v>1</v>
      </c>
      <c r="F22" s="56" t="s">
        <v>455</v>
      </c>
      <c r="G22" s="244" t="s">
        <v>493</v>
      </c>
      <c r="J22" s="138" t="s">
        <v>406</v>
      </c>
      <c r="K22" s="32" t="s">
        <v>114</v>
      </c>
      <c r="L22" s="121" t="s">
        <v>378</v>
      </c>
      <c r="M22" s="121" t="s">
        <v>379</v>
      </c>
      <c r="N22" s="121">
        <v>92500</v>
      </c>
      <c r="O22" s="30" t="s">
        <v>101</v>
      </c>
      <c r="P22" s="6" t="s">
        <v>24</v>
      </c>
      <c r="Q22" s="5" t="s">
        <v>113</v>
      </c>
      <c r="R22" s="14"/>
      <c r="S22" s="20"/>
      <c r="T22" s="288" t="s">
        <v>317</v>
      </c>
      <c r="U22" s="16"/>
      <c r="V22" s="13" t="s">
        <v>115</v>
      </c>
      <c r="W22" s="270"/>
      <c r="X22" s="263" t="s">
        <v>7</v>
      </c>
      <c r="Y22" s="31"/>
      <c r="Z22" s="48"/>
      <c r="AA22" s="135"/>
    </row>
    <row r="23" spans="1:27" ht="17">
      <c r="A23" s="56">
        <v>1</v>
      </c>
      <c r="B23" s="56">
        <v>1</v>
      </c>
      <c r="D23" s="56">
        <v>1</v>
      </c>
      <c r="F23" s="56" t="s">
        <v>455</v>
      </c>
      <c r="G23" s="244" t="s">
        <v>493</v>
      </c>
      <c r="J23" s="138" t="s">
        <v>25</v>
      </c>
      <c r="K23" s="32" t="s">
        <v>114</v>
      </c>
      <c r="L23" s="121" t="s">
        <v>378</v>
      </c>
      <c r="M23" s="121" t="s">
        <v>379</v>
      </c>
      <c r="N23" s="121">
        <v>85000</v>
      </c>
      <c r="O23" s="30" t="s">
        <v>101</v>
      </c>
      <c r="P23" s="6" t="s">
        <v>24</v>
      </c>
      <c r="Q23" s="5" t="s">
        <v>113</v>
      </c>
      <c r="R23" s="14"/>
      <c r="S23" s="20"/>
      <c r="T23" s="288" t="s">
        <v>317</v>
      </c>
      <c r="U23" s="16"/>
      <c r="V23" s="13" t="s">
        <v>115</v>
      </c>
      <c r="W23" s="270"/>
      <c r="X23" s="263" t="s">
        <v>7</v>
      </c>
      <c r="Y23" s="31"/>
      <c r="Z23" s="48"/>
      <c r="AA23" s="135"/>
    </row>
    <row r="24" spans="1:27" ht="17">
      <c r="A24" s="56">
        <v>1</v>
      </c>
      <c r="B24" s="56">
        <v>1</v>
      </c>
      <c r="D24" s="56">
        <v>1</v>
      </c>
      <c r="F24" s="56" t="s">
        <v>455</v>
      </c>
      <c r="G24" s="244" t="s">
        <v>493</v>
      </c>
      <c r="J24" s="138" t="s">
        <v>26</v>
      </c>
      <c r="K24" s="32" t="s">
        <v>114</v>
      </c>
      <c r="L24" s="121" t="s">
        <v>378</v>
      </c>
      <c r="M24" s="121" t="s">
        <v>379</v>
      </c>
      <c r="N24" s="121">
        <v>70000</v>
      </c>
      <c r="O24" s="30" t="s">
        <v>101</v>
      </c>
      <c r="P24" s="6" t="s">
        <v>24</v>
      </c>
      <c r="Q24" s="5" t="s">
        <v>113</v>
      </c>
      <c r="R24" s="14"/>
      <c r="S24" s="20"/>
      <c r="T24" s="288" t="s">
        <v>317</v>
      </c>
      <c r="U24" s="16"/>
      <c r="V24" s="13" t="s">
        <v>115</v>
      </c>
      <c r="W24" s="270"/>
      <c r="X24" s="263" t="s">
        <v>7</v>
      </c>
      <c r="Y24" s="31"/>
      <c r="Z24" s="48"/>
      <c r="AA24" s="135"/>
    </row>
    <row r="25" spans="1:27" ht="17">
      <c r="A25" s="56">
        <v>1</v>
      </c>
      <c r="B25" s="56">
        <v>1</v>
      </c>
      <c r="D25" s="56">
        <v>1</v>
      </c>
      <c r="F25" s="56" t="s">
        <v>455</v>
      </c>
      <c r="G25" s="244" t="s">
        <v>493</v>
      </c>
      <c r="J25" s="138" t="s">
        <v>27</v>
      </c>
      <c r="K25" s="32" t="s">
        <v>114</v>
      </c>
      <c r="L25" s="121" t="s">
        <v>378</v>
      </c>
      <c r="M25" s="121" t="s">
        <v>379</v>
      </c>
      <c r="N25" s="121">
        <v>50000</v>
      </c>
      <c r="O25" s="30" t="s">
        <v>101</v>
      </c>
      <c r="P25" s="6" t="s">
        <v>24</v>
      </c>
      <c r="Q25" s="5" t="s">
        <v>113</v>
      </c>
      <c r="R25" s="14"/>
      <c r="S25" s="14"/>
      <c r="T25" s="288" t="s">
        <v>317</v>
      </c>
      <c r="U25" s="16"/>
      <c r="V25" s="13" t="s">
        <v>115</v>
      </c>
      <c r="W25" s="270"/>
      <c r="X25" s="263" t="s">
        <v>7</v>
      </c>
      <c r="Y25" s="31"/>
      <c r="Z25" s="48"/>
      <c r="AA25" s="135"/>
    </row>
    <row r="26" spans="1:27" ht="17">
      <c r="A26" s="56">
        <v>1</v>
      </c>
      <c r="B26" s="56">
        <v>1</v>
      </c>
      <c r="D26" s="56">
        <v>1</v>
      </c>
      <c r="F26" s="56" t="s">
        <v>455</v>
      </c>
      <c r="G26" s="244" t="s">
        <v>493</v>
      </c>
      <c r="J26" s="138" t="s">
        <v>28</v>
      </c>
      <c r="K26" s="32" t="s">
        <v>114</v>
      </c>
      <c r="L26" s="121" t="s">
        <v>378</v>
      </c>
      <c r="M26" s="121" t="s">
        <v>379</v>
      </c>
      <c r="N26" s="121">
        <v>20000</v>
      </c>
      <c r="O26" s="30" t="s">
        <v>101</v>
      </c>
      <c r="P26" s="6" t="s">
        <v>24</v>
      </c>
      <c r="Q26" s="5" t="s">
        <v>113</v>
      </c>
      <c r="R26" s="14"/>
      <c r="S26" s="14"/>
      <c r="T26" s="288" t="s">
        <v>317</v>
      </c>
      <c r="U26" s="16"/>
      <c r="V26" s="13" t="s">
        <v>115</v>
      </c>
      <c r="W26" s="270"/>
      <c r="X26" s="263" t="s">
        <v>7</v>
      </c>
      <c r="Y26" s="31"/>
      <c r="Z26" s="48"/>
      <c r="AA26" s="135"/>
    </row>
    <row r="27" spans="1:27" ht="34">
      <c r="A27" s="56">
        <v>1</v>
      </c>
      <c r="B27" s="56">
        <v>1</v>
      </c>
      <c r="D27" s="56">
        <v>1</v>
      </c>
      <c r="F27" s="56" t="s">
        <v>455</v>
      </c>
      <c r="G27" s="244" t="s">
        <v>495</v>
      </c>
      <c r="J27" s="138" t="s">
        <v>366</v>
      </c>
      <c r="K27" s="32" t="s">
        <v>114</v>
      </c>
      <c r="L27" s="121" t="s">
        <v>378</v>
      </c>
      <c r="M27" s="121" t="s">
        <v>379</v>
      </c>
      <c r="N27" s="121">
        <v>100000</v>
      </c>
      <c r="O27" s="37" t="s">
        <v>101</v>
      </c>
      <c r="P27" s="6" t="s">
        <v>371</v>
      </c>
      <c r="Q27" s="22" t="s">
        <v>372</v>
      </c>
      <c r="R27" s="14" t="s">
        <v>373</v>
      </c>
      <c r="S27" s="22"/>
      <c r="T27" s="288" t="s">
        <v>317</v>
      </c>
      <c r="U27" s="16"/>
      <c r="V27" s="13" t="s">
        <v>115</v>
      </c>
      <c r="W27" s="270"/>
      <c r="X27" s="263" t="s">
        <v>7</v>
      </c>
      <c r="Y27" s="31"/>
      <c r="Z27" s="48"/>
      <c r="AA27" s="135"/>
    </row>
    <row r="28" spans="1:27" ht="17">
      <c r="A28" s="56">
        <v>1</v>
      </c>
      <c r="B28" s="56">
        <v>1</v>
      </c>
      <c r="D28" s="56">
        <v>1</v>
      </c>
      <c r="F28" s="56" t="s">
        <v>455</v>
      </c>
      <c r="G28" s="244" t="s">
        <v>495</v>
      </c>
      <c r="J28" s="138" t="s">
        <v>407</v>
      </c>
      <c r="K28" s="32" t="s">
        <v>114</v>
      </c>
      <c r="L28" s="121" t="s">
        <v>378</v>
      </c>
      <c r="M28" s="121" t="s">
        <v>379</v>
      </c>
      <c r="N28" s="121">
        <v>92500</v>
      </c>
      <c r="O28" s="30" t="s">
        <v>101</v>
      </c>
      <c r="P28" s="6" t="s">
        <v>371</v>
      </c>
      <c r="Q28" s="22" t="s">
        <v>372</v>
      </c>
      <c r="R28" s="14" t="s">
        <v>105</v>
      </c>
      <c r="S28" s="22"/>
      <c r="T28" s="288" t="s">
        <v>317</v>
      </c>
      <c r="U28" s="16"/>
      <c r="V28" s="13" t="s">
        <v>115</v>
      </c>
      <c r="W28" s="270"/>
      <c r="X28" s="263" t="s">
        <v>7</v>
      </c>
      <c r="Y28" s="31"/>
      <c r="Z28" s="48"/>
      <c r="AA28" s="135"/>
    </row>
    <row r="29" spans="1:27" ht="17">
      <c r="A29" s="56">
        <v>1</v>
      </c>
      <c r="B29" s="56">
        <v>1</v>
      </c>
      <c r="D29" s="56">
        <v>1</v>
      </c>
      <c r="F29" s="56" t="s">
        <v>455</v>
      </c>
      <c r="G29" s="244" t="s">
        <v>495</v>
      </c>
      <c r="J29" s="138" t="s">
        <v>367</v>
      </c>
      <c r="K29" s="32" t="s">
        <v>114</v>
      </c>
      <c r="L29" s="121" t="s">
        <v>378</v>
      </c>
      <c r="M29" s="121" t="s">
        <v>379</v>
      </c>
      <c r="N29" s="121">
        <v>85000</v>
      </c>
      <c r="O29" s="30" t="s">
        <v>101</v>
      </c>
      <c r="P29" s="6" t="s">
        <v>371</v>
      </c>
      <c r="Q29" s="22" t="s">
        <v>372</v>
      </c>
      <c r="R29" s="14" t="s">
        <v>105</v>
      </c>
      <c r="S29" s="22"/>
      <c r="T29" s="288" t="s">
        <v>317</v>
      </c>
      <c r="U29" s="16"/>
      <c r="V29" s="13" t="s">
        <v>115</v>
      </c>
      <c r="W29" s="270"/>
      <c r="X29" s="263" t="s">
        <v>7</v>
      </c>
      <c r="Y29" s="31"/>
      <c r="Z29" s="48"/>
      <c r="AA29" s="135"/>
    </row>
    <row r="30" spans="1:27" ht="17">
      <c r="A30" s="56">
        <v>1</v>
      </c>
      <c r="B30" s="56">
        <v>1</v>
      </c>
      <c r="D30" s="56">
        <v>1</v>
      </c>
      <c r="F30" s="56" t="s">
        <v>455</v>
      </c>
      <c r="G30" s="244" t="s">
        <v>495</v>
      </c>
      <c r="J30" s="138" t="s">
        <v>368</v>
      </c>
      <c r="K30" s="32" t="s">
        <v>114</v>
      </c>
      <c r="L30" s="121" t="s">
        <v>378</v>
      </c>
      <c r="M30" s="121" t="s">
        <v>379</v>
      </c>
      <c r="N30" s="121">
        <v>70000</v>
      </c>
      <c r="O30" s="30" t="s">
        <v>101</v>
      </c>
      <c r="P30" s="6" t="s">
        <v>371</v>
      </c>
      <c r="Q30" s="22" t="s">
        <v>372</v>
      </c>
      <c r="R30" s="14" t="s">
        <v>105</v>
      </c>
      <c r="S30" s="22"/>
      <c r="T30" s="288" t="s">
        <v>317</v>
      </c>
      <c r="U30" s="16"/>
      <c r="V30" s="13" t="s">
        <v>115</v>
      </c>
      <c r="W30" s="270"/>
      <c r="X30" s="263" t="s">
        <v>7</v>
      </c>
      <c r="Y30" s="31"/>
      <c r="Z30" s="48"/>
      <c r="AA30" s="135"/>
    </row>
    <row r="31" spans="1:27" ht="17">
      <c r="A31" s="56">
        <v>1</v>
      </c>
      <c r="B31" s="56">
        <v>1</v>
      </c>
      <c r="D31" s="56">
        <v>1</v>
      </c>
      <c r="F31" s="56" t="s">
        <v>455</v>
      </c>
      <c r="G31" s="244" t="s">
        <v>495</v>
      </c>
      <c r="J31" s="138" t="s">
        <v>369</v>
      </c>
      <c r="K31" s="32" t="s">
        <v>114</v>
      </c>
      <c r="L31" s="121" t="s">
        <v>378</v>
      </c>
      <c r="M31" s="121" t="s">
        <v>379</v>
      </c>
      <c r="N31" s="121">
        <v>50000</v>
      </c>
      <c r="O31" s="30" t="s">
        <v>101</v>
      </c>
      <c r="P31" s="6" t="s">
        <v>371</v>
      </c>
      <c r="Q31" s="22" t="s">
        <v>372</v>
      </c>
      <c r="R31" s="14" t="s">
        <v>105</v>
      </c>
      <c r="S31" s="22"/>
      <c r="T31" s="288" t="s">
        <v>317</v>
      </c>
      <c r="U31" s="16"/>
      <c r="V31" s="13" t="s">
        <v>115</v>
      </c>
      <c r="W31" s="270"/>
      <c r="X31" s="263" t="s">
        <v>7</v>
      </c>
      <c r="Y31" s="31"/>
      <c r="Z31" s="48"/>
      <c r="AA31" s="135"/>
    </row>
    <row r="32" spans="1:27" ht="17">
      <c r="A32" s="56">
        <v>1</v>
      </c>
      <c r="B32" s="56">
        <v>1</v>
      </c>
      <c r="D32" s="56">
        <v>1</v>
      </c>
      <c r="F32" s="56" t="s">
        <v>455</v>
      </c>
      <c r="G32" s="244" t="s">
        <v>495</v>
      </c>
      <c r="J32" s="138" t="s">
        <v>370</v>
      </c>
      <c r="K32" s="32" t="s">
        <v>114</v>
      </c>
      <c r="L32" s="121" t="s">
        <v>378</v>
      </c>
      <c r="M32" s="121" t="s">
        <v>379</v>
      </c>
      <c r="N32" s="121">
        <v>20000</v>
      </c>
      <c r="O32" s="30" t="s">
        <v>101</v>
      </c>
      <c r="P32" s="6" t="s">
        <v>371</v>
      </c>
      <c r="Q32" s="22" t="s">
        <v>372</v>
      </c>
      <c r="R32" s="14" t="s">
        <v>105</v>
      </c>
      <c r="S32" s="22"/>
      <c r="T32" s="288" t="s">
        <v>317</v>
      </c>
      <c r="U32" s="16"/>
      <c r="V32" s="13" t="s">
        <v>115</v>
      </c>
      <c r="W32" s="270"/>
      <c r="X32" s="263" t="s">
        <v>7</v>
      </c>
      <c r="Y32" s="31"/>
      <c r="Z32" s="48"/>
      <c r="AA32" s="135"/>
    </row>
    <row r="33" spans="1:28" ht="34">
      <c r="A33" s="56">
        <v>1</v>
      </c>
      <c r="B33" s="56">
        <v>1</v>
      </c>
      <c r="D33" s="56">
        <v>1</v>
      </c>
      <c r="F33" s="56" t="s">
        <v>453</v>
      </c>
      <c r="G33" s="244" t="s">
        <v>502</v>
      </c>
      <c r="J33" s="139" t="s">
        <v>29</v>
      </c>
      <c r="K33" s="12">
        <v>1</v>
      </c>
      <c r="L33" s="14"/>
      <c r="M33" s="14" t="s">
        <v>380</v>
      </c>
      <c r="N33" s="14">
        <v>2</v>
      </c>
      <c r="O33" s="30" t="s">
        <v>101</v>
      </c>
      <c r="P33" s="7" t="s">
        <v>30</v>
      </c>
      <c r="Q33" s="5" t="s">
        <v>129</v>
      </c>
      <c r="R33" s="14"/>
      <c r="S33" s="20"/>
      <c r="T33" s="293" t="s">
        <v>317</v>
      </c>
      <c r="U33" s="16"/>
      <c r="V33" s="13" t="s">
        <v>115</v>
      </c>
      <c r="W33" s="270" t="s">
        <v>7</v>
      </c>
      <c r="X33" s="30"/>
      <c r="Y33" s="31"/>
      <c r="Z33" s="48"/>
      <c r="AA33" s="135"/>
      <c r="AB33" t="s">
        <v>12</v>
      </c>
    </row>
    <row r="34" spans="1:28" ht="17">
      <c r="A34" s="56">
        <v>1</v>
      </c>
      <c r="B34" s="56">
        <v>1</v>
      </c>
      <c r="D34" s="56">
        <v>1</v>
      </c>
      <c r="F34" s="56" t="s">
        <v>455</v>
      </c>
      <c r="G34" s="244" t="s">
        <v>496</v>
      </c>
      <c r="J34" s="138" t="s">
        <v>31</v>
      </c>
      <c r="K34" s="12">
        <v>1</v>
      </c>
      <c r="L34" s="14"/>
      <c r="M34" s="121" t="s">
        <v>379</v>
      </c>
      <c r="N34" s="121">
        <v>100000</v>
      </c>
      <c r="O34" s="30" t="s">
        <v>101</v>
      </c>
      <c r="P34" s="6" t="s">
        <v>32</v>
      </c>
      <c r="Q34" s="5" t="s">
        <v>129</v>
      </c>
      <c r="R34" s="14"/>
      <c r="S34" s="20"/>
      <c r="T34" s="288" t="s">
        <v>317</v>
      </c>
      <c r="U34" s="16"/>
      <c r="V34" s="13" t="s">
        <v>115</v>
      </c>
      <c r="W34" s="270"/>
      <c r="X34" s="263" t="s">
        <v>7</v>
      </c>
      <c r="Y34" s="31"/>
      <c r="Z34" s="48"/>
      <c r="AA34" s="140"/>
    </row>
    <row r="35" spans="1:28" ht="17">
      <c r="A35" s="56">
        <v>1</v>
      </c>
      <c r="B35" s="56">
        <v>1</v>
      </c>
      <c r="D35" s="56">
        <v>1</v>
      </c>
      <c r="F35" s="56" t="s">
        <v>455</v>
      </c>
      <c r="G35" s="244" t="s">
        <v>496</v>
      </c>
      <c r="J35" s="138" t="s">
        <v>408</v>
      </c>
      <c r="K35" s="12">
        <v>1</v>
      </c>
      <c r="L35" s="14"/>
      <c r="M35" s="121" t="s">
        <v>379</v>
      </c>
      <c r="N35" s="144">
        <v>92500</v>
      </c>
      <c r="O35" s="30" t="s">
        <v>101</v>
      </c>
      <c r="P35" s="6" t="s">
        <v>32</v>
      </c>
      <c r="Q35" s="5" t="s">
        <v>129</v>
      </c>
      <c r="R35" s="14"/>
      <c r="S35" s="20"/>
      <c r="T35" s="288" t="s">
        <v>317</v>
      </c>
      <c r="U35" s="16"/>
      <c r="V35" s="13" t="s">
        <v>115</v>
      </c>
      <c r="W35" s="270"/>
      <c r="X35" s="262" t="s">
        <v>7</v>
      </c>
      <c r="Z35" s="48"/>
      <c r="AA35" s="140"/>
    </row>
    <row r="36" spans="1:28" ht="17">
      <c r="A36" s="56">
        <v>1</v>
      </c>
      <c r="B36" s="56">
        <v>1</v>
      </c>
      <c r="D36" s="56">
        <v>1</v>
      </c>
      <c r="F36" s="56" t="s">
        <v>455</v>
      </c>
      <c r="G36" s="244" t="s">
        <v>496</v>
      </c>
      <c r="J36" s="138" t="s">
        <v>33</v>
      </c>
      <c r="K36" s="12">
        <v>1</v>
      </c>
      <c r="L36" s="14"/>
      <c r="M36" s="121" t="s">
        <v>379</v>
      </c>
      <c r="N36" s="144">
        <v>85000</v>
      </c>
      <c r="O36" s="30" t="s">
        <v>101</v>
      </c>
      <c r="P36" s="6" t="s">
        <v>32</v>
      </c>
      <c r="Q36" s="5" t="s">
        <v>129</v>
      </c>
      <c r="R36" s="14"/>
      <c r="S36" s="20"/>
      <c r="T36" s="288" t="s">
        <v>317</v>
      </c>
      <c r="U36" s="16"/>
      <c r="V36" s="13" t="s">
        <v>115</v>
      </c>
      <c r="W36" s="270"/>
      <c r="X36" s="263" t="s">
        <v>7</v>
      </c>
      <c r="Y36" s="31"/>
      <c r="Z36" s="48"/>
      <c r="AA36" s="140"/>
    </row>
    <row r="37" spans="1:28" ht="17">
      <c r="A37" s="56">
        <v>1</v>
      </c>
      <c r="B37" s="56">
        <v>1</v>
      </c>
      <c r="D37" s="56">
        <v>1</v>
      </c>
      <c r="F37" s="56" t="s">
        <v>455</v>
      </c>
      <c r="G37" s="244" t="s">
        <v>496</v>
      </c>
      <c r="J37" s="138" t="s">
        <v>34</v>
      </c>
      <c r="K37" s="12">
        <v>1</v>
      </c>
      <c r="L37" s="14"/>
      <c r="M37" s="121" t="s">
        <v>379</v>
      </c>
      <c r="N37" s="144">
        <v>70000</v>
      </c>
      <c r="O37" s="30" t="s">
        <v>101</v>
      </c>
      <c r="P37" s="6" t="s">
        <v>32</v>
      </c>
      <c r="Q37" s="5" t="s">
        <v>129</v>
      </c>
      <c r="R37" s="14"/>
      <c r="S37" s="20"/>
      <c r="T37" s="288" t="s">
        <v>317</v>
      </c>
      <c r="U37" s="16"/>
      <c r="V37" s="13" t="s">
        <v>115</v>
      </c>
      <c r="W37" s="270"/>
      <c r="X37" s="263" t="s">
        <v>7</v>
      </c>
      <c r="Y37" s="31"/>
      <c r="Z37" s="48"/>
      <c r="AA37" s="140"/>
    </row>
    <row r="38" spans="1:28" ht="17">
      <c r="A38" s="56">
        <v>1</v>
      </c>
      <c r="B38" s="56">
        <v>1</v>
      </c>
      <c r="D38" s="56">
        <v>1</v>
      </c>
      <c r="F38" s="56" t="s">
        <v>455</v>
      </c>
      <c r="G38" s="244" t="s">
        <v>496</v>
      </c>
      <c r="J38" s="138" t="s">
        <v>35</v>
      </c>
      <c r="K38" s="12">
        <v>1</v>
      </c>
      <c r="L38" s="14"/>
      <c r="M38" s="121" t="s">
        <v>379</v>
      </c>
      <c r="N38" s="144">
        <v>50000</v>
      </c>
      <c r="O38" s="30" t="s">
        <v>101</v>
      </c>
      <c r="P38" s="6" t="s">
        <v>32</v>
      </c>
      <c r="Q38" s="5" t="s">
        <v>129</v>
      </c>
      <c r="R38" s="14"/>
      <c r="S38" s="20"/>
      <c r="T38" s="288" t="s">
        <v>317</v>
      </c>
      <c r="U38" s="16"/>
      <c r="V38" s="13" t="s">
        <v>115</v>
      </c>
      <c r="W38" s="270"/>
      <c r="X38" s="263" t="s">
        <v>7</v>
      </c>
      <c r="Y38" s="31"/>
      <c r="Z38" s="48"/>
      <c r="AA38" s="140"/>
    </row>
    <row r="39" spans="1:28" ht="17">
      <c r="A39" s="56">
        <v>1</v>
      </c>
      <c r="B39" s="56">
        <v>1</v>
      </c>
      <c r="D39" s="56">
        <v>1</v>
      </c>
      <c r="F39" s="56" t="s">
        <v>455</v>
      </c>
      <c r="G39" s="244" t="s">
        <v>496</v>
      </c>
      <c r="J39" s="138" t="s">
        <v>36</v>
      </c>
      <c r="K39" s="12">
        <v>1</v>
      </c>
      <c r="L39" s="14"/>
      <c r="M39" s="121" t="s">
        <v>379</v>
      </c>
      <c r="N39" s="144">
        <v>20000</v>
      </c>
      <c r="O39" s="30" t="s">
        <v>101</v>
      </c>
      <c r="P39" s="6" t="s">
        <v>32</v>
      </c>
      <c r="Q39" s="5" t="s">
        <v>129</v>
      </c>
      <c r="R39" s="14"/>
      <c r="S39" s="20"/>
      <c r="T39" s="288" t="s">
        <v>317</v>
      </c>
      <c r="U39" s="16"/>
      <c r="V39" s="13" t="s">
        <v>115</v>
      </c>
      <c r="W39" s="270"/>
      <c r="X39" s="263" t="s">
        <v>7</v>
      </c>
      <c r="Y39" s="31"/>
      <c r="Z39" s="48"/>
      <c r="AA39" s="140"/>
    </row>
    <row r="40" spans="1:28" ht="17">
      <c r="A40" s="56">
        <v>1</v>
      </c>
      <c r="B40" s="56">
        <v>1</v>
      </c>
      <c r="D40" s="56">
        <v>1</v>
      </c>
      <c r="F40" s="56" t="s">
        <v>455</v>
      </c>
      <c r="G40" s="244" t="s">
        <v>494</v>
      </c>
      <c r="J40" s="138" t="s">
        <v>77</v>
      </c>
      <c r="K40" s="32" t="s">
        <v>107</v>
      </c>
      <c r="L40" s="121"/>
      <c r="M40" s="121" t="s">
        <v>379</v>
      </c>
      <c r="N40" s="121">
        <v>100000</v>
      </c>
      <c r="O40" s="30" t="s">
        <v>101</v>
      </c>
      <c r="P40" s="6" t="s">
        <v>130</v>
      </c>
      <c r="Q40" s="14" t="s">
        <v>106</v>
      </c>
      <c r="R40" s="14"/>
      <c r="S40" s="20"/>
      <c r="T40" s="288" t="s">
        <v>317</v>
      </c>
      <c r="U40" s="16"/>
      <c r="V40" s="13" t="s">
        <v>115</v>
      </c>
      <c r="W40" s="270"/>
      <c r="X40" s="263" t="s">
        <v>7</v>
      </c>
      <c r="Y40" s="31"/>
      <c r="Z40" s="48"/>
      <c r="AA40" s="140"/>
    </row>
    <row r="41" spans="1:28" ht="17">
      <c r="A41" s="56">
        <v>1</v>
      </c>
      <c r="B41" s="56">
        <v>1</v>
      </c>
      <c r="D41" s="56">
        <v>1</v>
      </c>
      <c r="F41" s="56" t="s">
        <v>455</v>
      </c>
      <c r="G41" s="244" t="s">
        <v>494</v>
      </c>
      <c r="J41" s="138" t="s">
        <v>409</v>
      </c>
      <c r="K41" s="32" t="s">
        <v>107</v>
      </c>
      <c r="L41" s="121"/>
      <c r="M41" s="121" t="s">
        <v>379</v>
      </c>
      <c r="N41" s="144">
        <v>92500</v>
      </c>
      <c r="O41" s="30" t="s">
        <v>101</v>
      </c>
      <c r="P41" s="6" t="s">
        <v>130</v>
      </c>
      <c r="Q41" s="14" t="s">
        <v>106</v>
      </c>
      <c r="R41" s="14"/>
      <c r="S41" s="20"/>
      <c r="T41" s="288" t="s">
        <v>317</v>
      </c>
      <c r="U41" s="16"/>
      <c r="V41" s="13" t="s">
        <v>115</v>
      </c>
      <c r="W41" s="270"/>
      <c r="X41" s="263" t="s">
        <v>7</v>
      </c>
      <c r="Y41" s="31"/>
      <c r="Z41" s="48"/>
      <c r="AA41" s="140"/>
    </row>
    <row r="42" spans="1:28" ht="17">
      <c r="A42" s="56">
        <v>1</v>
      </c>
      <c r="B42" s="56">
        <v>1</v>
      </c>
      <c r="D42" s="56">
        <v>1</v>
      </c>
      <c r="F42" s="56" t="s">
        <v>455</v>
      </c>
      <c r="G42" s="244" t="s">
        <v>494</v>
      </c>
      <c r="J42" s="138" t="s">
        <v>78</v>
      </c>
      <c r="K42" s="32" t="s">
        <v>107</v>
      </c>
      <c r="L42" s="121"/>
      <c r="M42" s="121" t="s">
        <v>379</v>
      </c>
      <c r="N42" s="144">
        <v>85000</v>
      </c>
      <c r="O42" s="30" t="s">
        <v>101</v>
      </c>
      <c r="P42" s="6" t="s">
        <v>130</v>
      </c>
      <c r="Q42" s="14" t="s">
        <v>106</v>
      </c>
      <c r="R42" s="14"/>
      <c r="S42" s="20"/>
      <c r="T42" s="288" t="s">
        <v>317</v>
      </c>
      <c r="U42" s="16"/>
      <c r="V42" s="13" t="s">
        <v>115</v>
      </c>
      <c r="W42" s="270"/>
      <c r="X42" s="263" t="s">
        <v>7</v>
      </c>
      <c r="Y42" s="31"/>
      <c r="Z42" s="48"/>
      <c r="AA42" s="140"/>
    </row>
    <row r="43" spans="1:28" ht="17">
      <c r="A43" s="56">
        <v>1</v>
      </c>
      <c r="B43" s="56">
        <v>1</v>
      </c>
      <c r="D43" s="56">
        <v>1</v>
      </c>
      <c r="F43" s="56" t="s">
        <v>455</v>
      </c>
      <c r="G43" s="244" t="s">
        <v>494</v>
      </c>
      <c r="J43" s="138" t="s">
        <v>79</v>
      </c>
      <c r="K43" s="32" t="s">
        <v>107</v>
      </c>
      <c r="L43" s="121"/>
      <c r="M43" s="121" t="s">
        <v>379</v>
      </c>
      <c r="N43" s="144">
        <v>70000</v>
      </c>
      <c r="O43" s="30" t="s">
        <v>101</v>
      </c>
      <c r="P43" s="6" t="s">
        <v>130</v>
      </c>
      <c r="Q43" s="14" t="s">
        <v>106</v>
      </c>
      <c r="R43" s="14"/>
      <c r="S43" s="20"/>
      <c r="T43" s="288" t="s">
        <v>317</v>
      </c>
      <c r="U43" s="16"/>
      <c r="V43" s="13" t="s">
        <v>115</v>
      </c>
      <c r="W43" s="270"/>
      <c r="X43" s="263" t="s">
        <v>7</v>
      </c>
      <c r="Y43" s="31"/>
      <c r="Z43" s="48"/>
      <c r="AA43" s="140"/>
    </row>
    <row r="44" spans="1:28" ht="17">
      <c r="A44" s="56">
        <v>1</v>
      </c>
      <c r="B44" s="56">
        <v>1</v>
      </c>
      <c r="D44" s="56">
        <v>1</v>
      </c>
      <c r="F44" s="56" t="s">
        <v>455</v>
      </c>
      <c r="G44" s="244" t="s">
        <v>494</v>
      </c>
      <c r="J44" s="138" t="s">
        <v>80</v>
      </c>
      <c r="K44" s="32" t="s">
        <v>107</v>
      </c>
      <c r="L44" s="121"/>
      <c r="M44" s="121" t="s">
        <v>379</v>
      </c>
      <c r="N44" s="144">
        <v>50000</v>
      </c>
      <c r="O44" s="30" t="s">
        <v>101</v>
      </c>
      <c r="P44" s="6" t="s">
        <v>130</v>
      </c>
      <c r="Q44" s="14" t="s">
        <v>106</v>
      </c>
      <c r="R44" s="14"/>
      <c r="S44" s="20"/>
      <c r="T44" s="288" t="s">
        <v>317</v>
      </c>
      <c r="U44" s="16"/>
      <c r="V44" s="13" t="s">
        <v>115</v>
      </c>
      <c r="W44" s="270"/>
      <c r="X44" s="263" t="s">
        <v>7</v>
      </c>
      <c r="Y44" s="31"/>
      <c r="Z44" s="48"/>
      <c r="AA44" s="140"/>
    </row>
    <row r="45" spans="1:28" ht="17">
      <c r="A45" s="56">
        <v>1</v>
      </c>
      <c r="B45" s="56">
        <v>1</v>
      </c>
      <c r="D45" s="56">
        <v>1</v>
      </c>
      <c r="F45" s="56" t="s">
        <v>455</v>
      </c>
      <c r="G45" s="244" t="s">
        <v>494</v>
      </c>
      <c r="J45" s="138" t="s">
        <v>81</v>
      </c>
      <c r="K45" s="32" t="s">
        <v>107</v>
      </c>
      <c r="L45" s="121"/>
      <c r="M45" s="121" t="s">
        <v>379</v>
      </c>
      <c r="N45" s="144">
        <v>20000</v>
      </c>
      <c r="O45" s="30" t="s">
        <v>101</v>
      </c>
      <c r="P45" s="6" t="s">
        <v>130</v>
      </c>
      <c r="Q45" s="14" t="s">
        <v>106</v>
      </c>
      <c r="R45" s="14"/>
      <c r="S45" s="20"/>
      <c r="T45" s="288" t="s">
        <v>317</v>
      </c>
      <c r="U45" s="16"/>
      <c r="V45" s="13" t="s">
        <v>115</v>
      </c>
      <c r="W45" s="270"/>
      <c r="X45" s="263" t="s">
        <v>7</v>
      </c>
      <c r="Y45" s="31"/>
      <c r="Z45" s="48"/>
      <c r="AA45" s="140"/>
    </row>
    <row r="46" spans="1:28" ht="17">
      <c r="A46" s="56">
        <v>1</v>
      </c>
      <c r="B46" s="56">
        <v>1</v>
      </c>
      <c r="D46" s="56">
        <v>1</v>
      </c>
      <c r="F46" s="56" t="s">
        <v>455</v>
      </c>
      <c r="G46" s="244" t="s">
        <v>498</v>
      </c>
      <c r="J46" s="138" t="s">
        <v>37</v>
      </c>
      <c r="K46" s="12" t="s">
        <v>131</v>
      </c>
      <c r="L46" s="14"/>
      <c r="M46" s="121" t="s">
        <v>379</v>
      </c>
      <c r="N46" s="121">
        <v>100000</v>
      </c>
      <c r="O46" s="30" t="s">
        <v>101</v>
      </c>
      <c r="P46" s="6" t="s">
        <v>38</v>
      </c>
      <c r="Q46" s="14" t="s">
        <v>132</v>
      </c>
      <c r="R46" s="14"/>
      <c r="S46" s="20"/>
      <c r="T46" s="288" t="s">
        <v>317</v>
      </c>
      <c r="U46" s="16"/>
      <c r="V46" s="13" t="s">
        <v>115</v>
      </c>
      <c r="W46" s="270"/>
      <c r="X46" s="30"/>
      <c r="Y46" s="262" t="s">
        <v>7</v>
      </c>
      <c r="Z46" s="48"/>
      <c r="AA46" s="140"/>
    </row>
    <row r="47" spans="1:28" ht="17">
      <c r="A47" s="56">
        <v>1</v>
      </c>
      <c r="B47" s="56">
        <v>1</v>
      </c>
      <c r="D47" s="56">
        <v>1</v>
      </c>
      <c r="F47" s="56" t="s">
        <v>455</v>
      </c>
      <c r="G47" s="244" t="s">
        <v>498</v>
      </c>
      <c r="J47" s="138" t="s">
        <v>410</v>
      </c>
      <c r="K47" s="12" t="s">
        <v>131</v>
      </c>
      <c r="L47" s="14"/>
      <c r="M47" s="121" t="s">
        <v>379</v>
      </c>
      <c r="N47" s="144">
        <v>92500</v>
      </c>
      <c r="O47" s="30" t="s">
        <v>101</v>
      </c>
      <c r="P47" s="6" t="s">
        <v>38</v>
      </c>
      <c r="Q47" s="14" t="s">
        <v>132</v>
      </c>
      <c r="R47" s="14"/>
      <c r="S47" s="20"/>
      <c r="T47" s="288" t="s">
        <v>317</v>
      </c>
      <c r="U47" s="16"/>
      <c r="V47" s="13" t="s">
        <v>115</v>
      </c>
      <c r="W47" s="270"/>
      <c r="X47" s="30"/>
      <c r="Y47" s="262" t="s">
        <v>7</v>
      </c>
      <c r="Z47" s="48"/>
      <c r="AA47" s="140"/>
    </row>
    <row r="48" spans="1:28" ht="17">
      <c r="A48" s="56">
        <v>1</v>
      </c>
      <c r="B48" s="56">
        <v>1</v>
      </c>
      <c r="D48" s="56">
        <v>1</v>
      </c>
      <c r="F48" s="56" t="s">
        <v>455</v>
      </c>
      <c r="G48" s="244" t="s">
        <v>498</v>
      </c>
      <c r="J48" s="138" t="s">
        <v>39</v>
      </c>
      <c r="K48" s="12" t="s">
        <v>131</v>
      </c>
      <c r="L48" s="14"/>
      <c r="M48" s="121" t="s">
        <v>379</v>
      </c>
      <c r="N48" s="144">
        <v>85000</v>
      </c>
      <c r="O48" s="30" t="s">
        <v>101</v>
      </c>
      <c r="P48" s="6" t="s">
        <v>38</v>
      </c>
      <c r="Q48" s="14" t="s">
        <v>132</v>
      </c>
      <c r="R48" s="14"/>
      <c r="S48" s="20"/>
      <c r="T48" s="288" t="s">
        <v>317</v>
      </c>
      <c r="U48" s="16"/>
      <c r="V48" s="13" t="s">
        <v>115</v>
      </c>
      <c r="W48" s="270"/>
      <c r="X48" s="30"/>
      <c r="Y48" s="262" t="s">
        <v>7</v>
      </c>
      <c r="Z48" s="48"/>
      <c r="AA48" s="140"/>
    </row>
    <row r="49" spans="1:27" ht="17">
      <c r="A49" s="56">
        <v>1</v>
      </c>
      <c r="B49" s="56">
        <v>1</v>
      </c>
      <c r="D49" s="56">
        <v>1</v>
      </c>
      <c r="F49" s="56" t="s">
        <v>455</v>
      </c>
      <c r="G49" s="244" t="s">
        <v>498</v>
      </c>
      <c r="J49" s="138" t="s">
        <v>40</v>
      </c>
      <c r="K49" s="12" t="s">
        <v>131</v>
      </c>
      <c r="L49" s="14"/>
      <c r="M49" s="121" t="s">
        <v>379</v>
      </c>
      <c r="N49" s="144">
        <v>70000</v>
      </c>
      <c r="O49" s="30" t="s">
        <v>101</v>
      </c>
      <c r="P49" s="6" t="s">
        <v>38</v>
      </c>
      <c r="Q49" s="14" t="s">
        <v>132</v>
      </c>
      <c r="R49" s="14"/>
      <c r="S49" s="20"/>
      <c r="T49" s="288" t="s">
        <v>317</v>
      </c>
      <c r="U49" s="16"/>
      <c r="V49" s="13" t="s">
        <v>115</v>
      </c>
      <c r="W49" s="270"/>
      <c r="X49" s="30"/>
      <c r="Y49" s="262" t="s">
        <v>7</v>
      </c>
      <c r="Z49" s="48"/>
      <c r="AA49" s="140"/>
    </row>
    <row r="50" spans="1:27" ht="17">
      <c r="A50" s="56">
        <v>1</v>
      </c>
      <c r="B50" s="56">
        <v>1</v>
      </c>
      <c r="D50" s="56">
        <v>1</v>
      </c>
      <c r="F50" s="56" t="s">
        <v>455</v>
      </c>
      <c r="G50" s="244" t="s">
        <v>498</v>
      </c>
      <c r="J50" s="138" t="s">
        <v>41</v>
      </c>
      <c r="K50" s="12" t="s">
        <v>131</v>
      </c>
      <c r="L50" s="14"/>
      <c r="M50" s="121" t="s">
        <v>379</v>
      </c>
      <c r="N50" s="144">
        <v>50000</v>
      </c>
      <c r="O50" s="30" t="s">
        <v>101</v>
      </c>
      <c r="P50" s="6" t="s">
        <v>38</v>
      </c>
      <c r="Q50" s="14" t="s">
        <v>132</v>
      </c>
      <c r="R50" s="14"/>
      <c r="S50" s="20"/>
      <c r="T50" s="288" t="s">
        <v>317</v>
      </c>
      <c r="U50" s="16"/>
      <c r="V50" s="13" t="s">
        <v>115</v>
      </c>
      <c r="W50" s="270"/>
      <c r="X50" s="30"/>
      <c r="Y50" s="262" t="s">
        <v>7</v>
      </c>
      <c r="Z50" s="48"/>
      <c r="AA50" s="140"/>
    </row>
    <row r="51" spans="1:27" ht="17">
      <c r="A51" s="56">
        <v>1</v>
      </c>
      <c r="B51" s="56">
        <v>1</v>
      </c>
      <c r="D51" s="56">
        <v>1</v>
      </c>
      <c r="F51" s="56" t="s">
        <v>455</v>
      </c>
      <c r="G51" s="244" t="s">
        <v>498</v>
      </c>
      <c r="J51" s="138" t="s">
        <v>42</v>
      </c>
      <c r="K51" s="12" t="s">
        <v>131</v>
      </c>
      <c r="L51" s="14"/>
      <c r="M51" s="121" t="s">
        <v>379</v>
      </c>
      <c r="N51" s="144">
        <v>20000</v>
      </c>
      <c r="O51" s="30" t="s">
        <v>101</v>
      </c>
      <c r="P51" s="6" t="s">
        <v>38</v>
      </c>
      <c r="Q51" s="14" t="s">
        <v>132</v>
      </c>
      <c r="R51" s="14"/>
      <c r="S51" s="20"/>
      <c r="T51" s="288" t="s">
        <v>317</v>
      </c>
      <c r="U51" s="16"/>
      <c r="V51" s="13" t="s">
        <v>115</v>
      </c>
      <c r="W51" s="270"/>
      <c r="X51" s="30"/>
      <c r="Y51" s="262" t="s">
        <v>7</v>
      </c>
      <c r="Z51" s="48"/>
      <c r="AA51" s="140"/>
    </row>
    <row r="52" spans="1:27" ht="17">
      <c r="A52" s="56">
        <v>1</v>
      </c>
      <c r="B52" s="56">
        <v>1</v>
      </c>
      <c r="D52" s="56">
        <v>1</v>
      </c>
      <c r="F52" s="56" t="s">
        <v>453</v>
      </c>
      <c r="G52" s="244" t="s">
        <v>503</v>
      </c>
      <c r="J52" s="138" t="s">
        <v>43</v>
      </c>
      <c r="K52" s="32" t="s">
        <v>133</v>
      </c>
      <c r="L52" s="121"/>
      <c r="M52" s="14" t="s">
        <v>380</v>
      </c>
      <c r="N52" s="121">
        <v>0</v>
      </c>
      <c r="O52" s="30" t="s">
        <v>101</v>
      </c>
      <c r="P52" s="6" t="s">
        <v>44</v>
      </c>
      <c r="Q52" s="5" t="s">
        <v>134</v>
      </c>
      <c r="R52" s="14"/>
      <c r="S52" s="20"/>
      <c r="T52" s="293" t="s">
        <v>317</v>
      </c>
      <c r="U52" s="16"/>
      <c r="V52" s="13" t="s">
        <v>115</v>
      </c>
      <c r="W52" s="270"/>
      <c r="X52" s="30"/>
      <c r="Y52" s="262" t="s">
        <v>7</v>
      </c>
      <c r="Z52" s="48"/>
      <c r="AA52" s="140"/>
    </row>
    <row r="53" spans="1:27" ht="68">
      <c r="A53" s="56">
        <v>1</v>
      </c>
      <c r="B53" s="56">
        <v>1</v>
      </c>
      <c r="D53" s="56">
        <v>1</v>
      </c>
      <c r="F53" s="56" t="s">
        <v>453</v>
      </c>
      <c r="G53" s="244" t="s">
        <v>504</v>
      </c>
      <c r="J53" s="138" t="s">
        <v>45</v>
      </c>
      <c r="K53" s="32" t="s">
        <v>133</v>
      </c>
      <c r="L53" s="121"/>
      <c r="M53" s="14" t="s">
        <v>380</v>
      </c>
      <c r="N53" s="121">
        <v>0</v>
      </c>
      <c r="O53" s="30" t="s">
        <v>101</v>
      </c>
      <c r="P53" s="6" t="s">
        <v>46</v>
      </c>
      <c r="Q53" s="5" t="s">
        <v>135</v>
      </c>
      <c r="R53" s="14" t="s">
        <v>343</v>
      </c>
      <c r="S53" s="20"/>
      <c r="T53" s="293" t="s">
        <v>317</v>
      </c>
      <c r="U53" s="16"/>
      <c r="V53" s="13" t="s">
        <v>115</v>
      </c>
      <c r="W53" s="270"/>
      <c r="X53" s="30"/>
      <c r="Y53" s="262" t="s">
        <v>7</v>
      </c>
      <c r="Z53" s="48"/>
      <c r="AA53" s="140"/>
    </row>
    <row r="54" spans="1:27" ht="34">
      <c r="A54" s="56">
        <v>1</v>
      </c>
      <c r="B54" s="56">
        <v>1</v>
      </c>
      <c r="D54" s="56">
        <v>1</v>
      </c>
      <c r="F54" s="56" t="s">
        <v>453</v>
      </c>
      <c r="G54" s="247" t="s">
        <v>505</v>
      </c>
      <c r="H54" s="254" t="s">
        <v>599</v>
      </c>
      <c r="I54" s="254"/>
      <c r="J54" s="138" t="s">
        <v>47</v>
      </c>
      <c r="K54" s="12" t="s">
        <v>136</v>
      </c>
      <c r="L54" s="14"/>
      <c r="M54" s="14" t="s">
        <v>380</v>
      </c>
      <c r="N54" s="14">
        <v>0</v>
      </c>
      <c r="O54" s="30" t="s">
        <v>102</v>
      </c>
      <c r="P54" s="6" t="s">
        <v>48</v>
      </c>
      <c r="Q54" s="5" t="s">
        <v>122</v>
      </c>
      <c r="R54" s="14"/>
      <c r="S54" s="39" t="s">
        <v>104</v>
      </c>
      <c r="T54" s="293" t="s">
        <v>318</v>
      </c>
      <c r="U54" s="16"/>
      <c r="V54" s="13" t="s">
        <v>115</v>
      </c>
      <c r="W54" s="268" t="s">
        <v>7</v>
      </c>
      <c r="X54" s="53"/>
      <c r="Y54" s="31"/>
      <c r="Z54" s="51"/>
      <c r="AA54" s="141"/>
    </row>
    <row r="55" spans="1:27" ht="34">
      <c r="A55" s="56">
        <v>1</v>
      </c>
      <c r="B55" s="56">
        <v>1</v>
      </c>
      <c r="D55" s="56">
        <v>1</v>
      </c>
      <c r="F55" s="56" t="s">
        <v>453</v>
      </c>
      <c r="G55" s="244" t="s">
        <v>506</v>
      </c>
      <c r="H55" s="252" t="s">
        <v>600</v>
      </c>
      <c r="I55" s="252"/>
      <c r="J55" s="138" t="s">
        <v>49</v>
      </c>
      <c r="K55" s="12" t="s">
        <v>136</v>
      </c>
      <c r="L55" s="14"/>
      <c r="M55" s="14" t="s">
        <v>380</v>
      </c>
      <c r="N55" s="14">
        <v>0</v>
      </c>
      <c r="O55" s="30" t="s">
        <v>102</v>
      </c>
      <c r="P55" s="6" t="s">
        <v>50</v>
      </c>
      <c r="Q55" s="5" t="s">
        <v>123</v>
      </c>
      <c r="R55" s="14"/>
      <c r="S55" s="39" t="s">
        <v>104</v>
      </c>
      <c r="T55" s="293" t="s">
        <v>318</v>
      </c>
      <c r="U55" s="16"/>
      <c r="V55" s="13" t="s">
        <v>115</v>
      </c>
      <c r="W55" s="268" t="s">
        <v>7</v>
      </c>
      <c r="X55" s="53"/>
      <c r="Y55" s="31"/>
      <c r="Z55" s="52"/>
      <c r="AA55" s="141"/>
    </row>
    <row r="56" spans="1:27" ht="34">
      <c r="A56" s="56">
        <v>1</v>
      </c>
      <c r="B56" s="56">
        <v>1</v>
      </c>
      <c r="D56" s="56">
        <v>1</v>
      </c>
      <c r="F56" s="56" t="s">
        <v>455</v>
      </c>
      <c r="G56" s="244" t="s">
        <v>521</v>
      </c>
      <c r="H56" s="252" t="s">
        <v>625</v>
      </c>
      <c r="J56" s="138" t="s">
        <v>51</v>
      </c>
      <c r="K56" s="12" t="s">
        <v>136</v>
      </c>
      <c r="L56" s="14"/>
      <c r="M56" s="14" t="s">
        <v>380</v>
      </c>
      <c r="N56" s="14">
        <v>0</v>
      </c>
      <c r="O56" s="30" t="s">
        <v>102</v>
      </c>
      <c r="P56" s="6" t="s">
        <v>52</v>
      </c>
      <c r="Q56" s="5" t="s">
        <v>124</v>
      </c>
      <c r="R56" s="14"/>
      <c r="S56" s="39" t="s">
        <v>128</v>
      </c>
      <c r="T56" s="293" t="s">
        <v>318</v>
      </c>
      <c r="U56" s="16"/>
      <c r="V56" s="13" t="s">
        <v>115</v>
      </c>
      <c r="W56" s="268" t="s">
        <v>7</v>
      </c>
      <c r="X56" s="53"/>
      <c r="Y56" s="31"/>
      <c r="Z56" s="52"/>
      <c r="AA56" s="141"/>
    </row>
    <row r="57" spans="1:27" ht="34">
      <c r="A57" s="56">
        <v>1</v>
      </c>
      <c r="B57" s="56">
        <v>1</v>
      </c>
      <c r="D57" s="56">
        <v>1</v>
      </c>
      <c r="F57" s="56" t="s">
        <v>455</v>
      </c>
      <c r="G57" s="244" t="s">
        <v>520</v>
      </c>
      <c r="H57" s="252" t="s">
        <v>598</v>
      </c>
      <c r="I57" s="252"/>
      <c r="J57" s="133" t="s">
        <v>53</v>
      </c>
      <c r="K57" s="41" t="s">
        <v>136</v>
      </c>
      <c r="L57" s="14"/>
      <c r="M57" s="14" t="s">
        <v>380</v>
      </c>
      <c r="N57" s="14">
        <v>0</v>
      </c>
      <c r="O57" s="30" t="s">
        <v>102</v>
      </c>
      <c r="P57" s="18" t="s">
        <v>54</v>
      </c>
      <c r="Q57" s="38" t="s">
        <v>125</v>
      </c>
      <c r="R57" s="14"/>
      <c r="S57" s="40" t="s">
        <v>128</v>
      </c>
      <c r="T57" s="293" t="s">
        <v>318</v>
      </c>
      <c r="U57" s="16"/>
      <c r="V57" s="13" t="s">
        <v>115</v>
      </c>
      <c r="W57" s="268" t="s">
        <v>7</v>
      </c>
      <c r="X57" s="53"/>
      <c r="Y57" s="31"/>
      <c r="Z57" s="52"/>
      <c r="AA57" s="141"/>
    </row>
    <row r="58" spans="1:27" ht="34">
      <c r="A58" s="56">
        <v>1</v>
      </c>
      <c r="B58" s="56">
        <v>1</v>
      </c>
      <c r="D58" s="56">
        <v>1</v>
      </c>
      <c r="F58" s="56" t="s">
        <v>455</v>
      </c>
      <c r="G58" s="244" t="s">
        <v>515</v>
      </c>
      <c r="H58" s="252" t="s">
        <v>597</v>
      </c>
      <c r="I58" s="252"/>
      <c r="J58" s="138" t="s">
        <v>55</v>
      </c>
      <c r="K58" s="12" t="s">
        <v>136</v>
      </c>
      <c r="L58" s="14"/>
      <c r="M58" s="14" t="s">
        <v>380</v>
      </c>
      <c r="N58" s="14">
        <v>0</v>
      </c>
      <c r="O58" s="30" t="s">
        <v>102</v>
      </c>
      <c r="P58" s="6" t="s">
        <v>56</v>
      </c>
      <c r="Q58" s="5" t="s">
        <v>126</v>
      </c>
      <c r="R58" s="14"/>
      <c r="S58" s="39" t="s">
        <v>128</v>
      </c>
      <c r="T58" s="293" t="s">
        <v>318</v>
      </c>
      <c r="U58" s="16"/>
      <c r="V58" s="13" t="s">
        <v>115</v>
      </c>
      <c r="W58" s="268" t="s">
        <v>7</v>
      </c>
      <c r="X58" s="53"/>
      <c r="Y58" s="31"/>
      <c r="Z58" s="52"/>
      <c r="AA58" s="141"/>
    </row>
    <row r="59" spans="1:27" ht="34">
      <c r="A59" s="56">
        <v>1</v>
      </c>
      <c r="B59" s="56">
        <v>1</v>
      </c>
      <c r="D59" s="56">
        <v>1</v>
      </c>
      <c r="F59" s="56" t="s">
        <v>455</v>
      </c>
      <c r="G59" s="244" t="s">
        <v>516</v>
      </c>
      <c r="H59" s="252" t="s">
        <v>601</v>
      </c>
      <c r="I59" s="252"/>
      <c r="J59" s="138" t="s">
        <v>57</v>
      </c>
      <c r="K59" s="12" t="s">
        <v>136</v>
      </c>
      <c r="L59" s="14"/>
      <c r="M59" s="14" t="s">
        <v>380</v>
      </c>
      <c r="N59" s="14">
        <v>0</v>
      </c>
      <c r="O59" s="30" t="s">
        <v>102</v>
      </c>
      <c r="P59" s="6" t="s">
        <v>58</v>
      </c>
      <c r="Q59" s="5" t="s">
        <v>127</v>
      </c>
      <c r="R59" s="14"/>
      <c r="S59" s="39" t="s">
        <v>128</v>
      </c>
      <c r="T59" s="293" t="s">
        <v>318</v>
      </c>
      <c r="U59" s="16"/>
      <c r="V59" s="13" t="s">
        <v>115</v>
      </c>
      <c r="W59" s="268" t="s">
        <v>7</v>
      </c>
      <c r="X59" s="53"/>
      <c r="Y59" s="31"/>
      <c r="Z59" s="52"/>
      <c r="AA59" s="141"/>
    </row>
    <row r="60" spans="1:27" ht="34">
      <c r="A60" s="56">
        <v>1</v>
      </c>
      <c r="B60" s="56">
        <v>1</v>
      </c>
      <c r="D60" s="56">
        <v>1</v>
      </c>
      <c r="F60" s="56" t="s">
        <v>453</v>
      </c>
      <c r="G60" s="250" t="s">
        <v>582</v>
      </c>
      <c r="H60" s="252" t="s">
        <v>594</v>
      </c>
      <c r="I60" s="252"/>
      <c r="J60" s="138" t="s">
        <v>59</v>
      </c>
      <c r="K60" s="12" t="s">
        <v>108</v>
      </c>
      <c r="L60" s="14"/>
      <c r="M60" s="14" t="s">
        <v>380</v>
      </c>
      <c r="N60" s="14">
        <v>0</v>
      </c>
      <c r="O60" s="30" t="s">
        <v>102</v>
      </c>
      <c r="P60" s="6" t="s">
        <v>60</v>
      </c>
      <c r="Q60" s="5" t="s">
        <v>137</v>
      </c>
      <c r="R60" s="14"/>
      <c r="S60" s="20"/>
      <c r="T60" s="293" t="s">
        <v>318</v>
      </c>
      <c r="U60" s="16"/>
      <c r="V60" s="13" t="s">
        <v>115</v>
      </c>
      <c r="W60" s="268" t="s">
        <v>7</v>
      </c>
      <c r="X60" s="53"/>
      <c r="Y60" s="31"/>
      <c r="Z60" s="52"/>
      <c r="AA60" s="141"/>
    </row>
    <row r="61" spans="1:27" ht="34">
      <c r="A61" s="56">
        <v>1</v>
      </c>
      <c r="B61" s="56">
        <v>1</v>
      </c>
      <c r="F61" s="219"/>
      <c r="G61" s="238" t="s">
        <v>558</v>
      </c>
      <c r="H61" s="219"/>
      <c r="I61" s="219"/>
      <c r="J61" s="138" t="s">
        <v>61</v>
      </c>
      <c r="K61" s="12" t="s">
        <v>108</v>
      </c>
      <c r="L61" s="14"/>
      <c r="M61" s="14" t="s">
        <v>380</v>
      </c>
      <c r="N61" s="14">
        <v>0</v>
      </c>
      <c r="O61" s="30" t="s">
        <v>102</v>
      </c>
      <c r="P61" s="6" t="s">
        <v>62</v>
      </c>
      <c r="Q61" s="5" t="s">
        <v>138</v>
      </c>
      <c r="R61" s="14"/>
      <c r="S61" s="20"/>
      <c r="T61" s="293" t="s">
        <v>318</v>
      </c>
      <c r="U61" s="16"/>
      <c r="V61" s="13" t="s">
        <v>115</v>
      </c>
      <c r="W61" s="271" t="s">
        <v>7</v>
      </c>
      <c r="X61" s="53"/>
      <c r="Y61" s="31"/>
      <c r="Z61" s="52"/>
      <c r="AA61" s="141"/>
    </row>
    <row r="62" spans="1:27" ht="34">
      <c r="A62" s="56">
        <v>1</v>
      </c>
      <c r="B62" s="56">
        <v>1</v>
      </c>
      <c r="D62" s="56">
        <v>1</v>
      </c>
      <c r="F62" s="56" t="s">
        <v>453</v>
      </c>
      <c r="G62" s="246" t="s">
        <v>572</v>
      </c>
      <c r="J62" s="138" t="s">
        <v>63</v>
      </c>
      <c r="K62" s="33" t="s">
        <v>140</v>
      </c>
      <c r="L62" s="30"/>
      <c r="M62" s="14" t="s">
        <v>380</v>
      </c>
      <c r="N62" s="121">
        <v>0</v>
      </c>
      <c r="O62" s="30" t="s">
        <v>102</v>
      </c>
      <c r="P62" s="6" t="s">
        <v>64</v>
      </c>
      <c r="Q62" s="5" t="s">
        <v>139</v>
      </c>
      <c r="R62" s="14"/>
      <c r="S62" s="20"/>
      <c r="T62" s="293" t="s">
        <v>318</v>
      </c>
      <c r="U62" s="16"/>
      <c r="V62" s="13" t="s">
        <v>115</v>
      </c>
      <c r="W62" s="268" t="s">
        <v>7</v>
      </c>
      <c r="X62" s="53"/>
      <c r="Y62" s="31"/>
      <c r="AA62" s="141"/>
    </row>
    <row r="63" spans="1:27" ht="68">
      <c r="A63" s="56">
        <v>1</v>
      </c>
      <c r="B63" s="56">
        <v>1</v>
      </c>
      <c r="D63" s="56">
        <v>1</v>
      </c>
      <c r="F63" s="56" t="s">
        <v>455</v>
      </c>
      <c r="G63" s="246" t="s">
        <v>611</v>
      </c>
      <c r="H63" s="252" t="s">
        <v>605</v>
      </c>
      <c r="J63" s="226" t="s">
        <v>65</v>
      </c>
      <c r="K63" s="33" t="s">
        <v>140</v>
      </c>
      <c r="L63" s="30"/>
      <c r="M63" s="14" t="s">
        <v>380</v>
      </c>
      <c r="N63" s="121">
        <v>0</v>
      </c>
      <c r="O63" s="198" t="s">
        <v>102</v>
      </c>
      <c r="P63" s="8" t="s">
        <v>66</v>
      </c>
      <c r="Q63" s="5" t="s">
        <v>116</v>
      </c>
      <c r="R63" s="201" t="s">
        <v>412</v>
      </c>
      <c r="S63" s="20"/>
      <c r="T63" s="288" t="s">
        <v>318</v>
      </c>
      <c r="U63" s="16"/>
      <c r="V63" s="15" t="s">
        <v>118</v>
      </c>
      <c r="W63" s="267"/>
      <c r="X63" s="30"/>
      <c r="Y63" s="31"/>
      <c r="Z63" s="260" t="s">
        <v>7</v>
      </c>
      <c r="AA63" s="140"/>
    </row>
    <row r="64" spans="1:27" ht="68">
      <c r="A64" s="56">
        <v>1</v>
      </c>
      <c r="B64" s="56">
        <v>1</v>
      </c>
      <c r="D64" s="56">
        <v>1</v>
      </c>
      <c r="F64" s="56" t="s">
        <v>455</v>
      </c>
      <c r="G64" s="246" t="s">
        <v>612</v>
      </c>
      <c r="H64" s="252" t="s">
        <v>608</v>
      </c>
      <c r="I64" s="252"/>
      <c r="J64" s="227" t="s">
        <v>67</v>
      </c>
      <c r="K64" s="33" t="s">
        <v>131</v>
      </c>
      <c r="L64" s="30"/>
      <c r="M64" s="14" t="s">
        <v>380</v>
      </c>
      <c r="N64" s="121">
        <v>0</v>
      </c>
      <c r="O64" s="198" t="s">
        <v>102</v>
      </c>
      <c r="P64" s="9" t="s">
        <v>68</v>
      </c>
      <c r="Q64" s="5" t="s">
        <v>117</v>
      </c>
      <c r="R64" s="201" t="s">
        <v>412</v>
      </c>
      <c r="S64" s="20"/>
      <c r="T64" s="288" t="s">
        <v>318</v>
      </c>
      <c r="U64" s="20" t="s">
        <v>121</v>
      </c>
      <c r="V64" s="15" t="s">
        <v>118</v>
      </c>
      <c r="W64" s="274"/>
      <c r="X64" s="30"/>
      <c r="Y64" s="31"/>
      <c r="Z64" s="261" t="s">
        <v>7</v>
      </c>
      <c r="AA64" s="140"/>
    </row>
    <row r="65" spans="1:32" ht="34">
      <c r="A65" s="56">
        <v>1</v>
      </c>
      <c r="B65" s="56">
        <v>1</v>
      </c>
      <c r="D65" s="56">
        <v>1</v>
      </c>
      <c r="F65" s="56" t="s">
        <v>455</v>
      </c>
      <c r="G65" s="255" t="s">
        <v>620</v>
      </c>
      <c r="I65" s="56" t="s">
        <v>604</v>
      </c>
      <c r="J65" s="138" t="s">
        <v>69</v>
      </c>
      <c r="K65" s="12" t="s">
        <v>108</v>
      </c>
      <c r="L65" s="14"/>
      <c r="M65" s="14" t="s">
        <v>380</v>
      </c>
      <c r="N65" s="14">
        <v>0</v>
      </c>
      <c r="O65" s="30" t="s">
        <v>102</v>
      </c>
      <c r="P65" s="6" t="s">
        <v>70</v>
      </c>
      <c r="Q65" s="5" t="s">
        <v>141</v>
      </c>
      <c r="R65" s="14"/>
      <c r="S65" s="20"/>
      <c r="T65" s="293" t="s">
        <v>318</v>
      </c>
      <c r="U65" s="293" t="s">
        <v>121</v>
      </c>
      <c r="V65" s="15" t="s">
        <v>119</v>
      </c>
      <c r="W65" s="273" t="s">
        <v>7</v>
      </c>
      <c r="X65" s="30"/>
      <c r="Y65" s="31"/>
      <c r="Z65" s="50"/>
      <c r="AA65" s="140"/>
    </row>
    <row r="66" spans="1:32" ht="34">
      <c r="A66" s="56">
        <v>1</v>
      </c>
      <c r="B66" s="56">
        <v>1</v>
      </c>
      <c r="D66" s="56">
        <v>1</v>
      </c>
      <c r="F66" s="56" t="s">
        <v>455</v>
      </c>
      <c r="G66" s="255" t="s">
        <v>621</v>
      </c>
      <c r="I66" s="56" t="s">
        <v>604</v>
      </c>
      <c r="J66" s="138" t="s">
        <v>71</v>
      </c>
      <c r="K66" s="12" t="s">
        <v>108</v>
      </c>
      <c r="L66" s="14"/>
      <c r="M66" s="14" t="s">
        <v>380</v>
      </c>
      <c r="N66" s="14">
        <v>0</v>
      </c>
      <c r="O66" s="30" t="s">
        <v>102</v>
      </c>
      <c r="P66" s="6" t="s">
        <v>72</v>
      </c>
      <c r="Q66" s="5" t="s">
        <v>142</v>
      </c>
      <c r="R66" s="14"/>
      <c r="S66" s="20"/>
      <c r="T66" s="293" t="s">
        <v>318</v>
      </c>
      <c r="U66" s="293" t="s">
        <v>121</v>
      </c>
      <c r="V66" s="15" t="s">
        <v>119</v>
      </c>
      <c r="W66" s="269" t="s">
        <v>7</v>
      </c>
      <c r="X66" s="30"/>
      <c r="Y66" s="31"/>
      <c r="Z66" s="47"/>
      <c r="AA66" s="140"/>
    </row>
    <row r="67" spans="1:32" ht="238">
      <c r="A67" s="56">
        <v>1</v>
      </c>
      <c r="B67" s="56">
        <v>1</v>
      </c>
      <c r="D67" s="56">
        <v>1</v>
      </c>
      <c r="E67" s="7"/>
      <c r="F67" s="7" t="s">
        <v>455</v>
      </c>
      <c r="G67" s="255" t="s">
        <v>615</v>
      </c>
      <c r="H67" s="253" t="s">
        <v>589</v>
      </c>
      <c r="I67" s="251" t="s">
        <v>604</v>
      </c>
      <c r="J67" s="138" t="s">
        <v>340</v>
      </c>
      <c r="K67" s="12" t="s">
        <v>93</v>
      </c>
      <c r="L67" s="14"/>
      <c r="M67" s="14" t="s">
        <v>380</v>
      </c>
      <c r="N67" s="14">
        <v>0</v>
      </c>
      <c r="O67" s="199" t="s">
        <v>102</v>
      </c>
      <c r="P67" s="151" t="s">
        <v>341</v>
      </c>
      <c r="Q67" s="7" t="s">
        <v>342</v>
      </c>
      <c r="R67" s="201" t="s">
        <v>414</v>
      </c>
      <c r="S67" s="20"/>
      <c r="T67" s="295" t="s">
        <v>318</v>
      </c>
      <c r="U67" s="20" t="s">
        <v>121</v>
      </c>
      <c r="V67" s="15" t="s">
        <v>119</v>
      </c>
      <c r="W67" s="269"/>
      <c r="X67" s="30"/>
      <c r="Y67" s="31"/>
      <c r="Z67" s="258" t="s">
        <v>7</v>
      </c>
      <c r="AA67" s="140"/>
    </row>
    <row r="68" spans="1:32" ht="85">
      <c r="A68" s="56">
        <v>1</v>
      </c>
      <c r="B68" s="56">
        <v>1</v>
      </c>
      <c r="D68" s="56">
        <v>1</v>
      </c>
      <c r="F68" s="56" t="s">
        <v>455</v>
      </c>
      <c r="G68" s="255" t="s">
        <v>616</v>
      </c>
      <c r="H68" s="253" t="s">
        <v>589</v>
      </c>
      <c r="I68" s="251" t="s">
        <v>604</v>
      </c>
      <c r="J68" s="138" t="s">
        <v>73</v>
      </c>
      <c r="K68" s="12" t="s">
        <v>93</v>
      </c>
      <c r="L68" s="14"/>
      <c r="M68" s="14" t="s">
        <v>380</v>
      </c>
      <c r="N68" s="14">
        <v>0</v>
      </c>
      <c r="O68" s="200" t="s">
        <v>102</v>
      </c>
      <c r="P68" s="6" t="s">
        <v>74</v>
      </c>
      <c r="Q68" s="14" t="s">
        <v>120</v>
      </c>
      <c r="R68" s="201" t="s">
        <v>413</v>
      </c>
      <c r="S68" s="20"/>
      <c r="T68" s="295" t="s">
        <v>318</v>
      </c>
      <c r="U68" s="20" t="s">
        <v>121</v>
      </c>
      <c r="V68" s="15" t="s">
        <v>119</v>
      </c>
      <c r="W68" s="270"/>
      <c r="X68" s="30"/>
      <c r="Y68" s="31"/>
      <c r="Z68" s="259" t="s">
        <v>7</v>
      </c>
      <c r="AA68" s="140"/>
    </row>
    <row r="69" spans="1:32" ht="17">
      <c r="A69" s="56">
        <v>1</v>
      </c>
      <c r="B69" s="56">
        <v>1</v>
      </c>
      <c r="D69" s="56">
        <v>1</v>
      </c>
      <c r="F69" s="56" t="s">
        <v>455</v>
      </c>
      <c r="G69" s="244" t="s">
        <v>523</v>
      </c>
      <c r="J69" s="138" t="s">
        <v>92</v>
      </c>
      <c r="K69" s="12" t="s">
        <v>93</v>
      </c>
      <c r="L69" s="14"/>
      <c r="M69" s="14" t="s">
        <v>380</v>
      </c>
      <c r="N69" s="14">
        <v>0</v>
      </c>
      <c r="O69" s="25" t="s">
        <v>101</v>
      </c>
      <c r="P69" s="5" t="s">
        <v>86</v>
      </c>
      <c r="Q69" s="5" t="s">
        <v>87</v>
      </c>
      <c r="R69" s="152"/>
      <c r="S69" s="21"/>
      <c r="T69" s="292" t="s">
        <v>317</v>
      </c>
      <c r="U69" s="16"/>
      <c r="V69" s="153" t="s">
        <v>115</v>
      </c>
      <c r="W69" s="267" t="s">
        <v>7</v>
      </c>
      <c r="X69" s="35"/>
      <c r="Y69" s="36"/>
      <c r="Z69" s="49"/>
      <c r="AA69" s="140"/>
    </row>
    <row r="70" spans="1:32" ht="34">
      <c r="A70" s="56">
        <v>1</v>
      </c>
      <c r="B70" s="56">
        <v>1</v>
      </c>
      <c r="D70" s="56">
        <v>1</v>
      </c>
      <c r="F70" s="56" t="s">
        <v>455</v>
      </c>
      <c r="G70" s="7" t="s">
        <v>570</v>
      </c>
      <c r="J70" s="138" t="s">
        <v>94</v>
      </c>
      <c r="K70" s="12" t="s">
        <v>93</v>
      </c>
      <c r="L70" s="14"/>
      <c r="M70" s="14" t="s">
        <v>380</v>
      </c>
      <c r="N70" s="14">
        <v>0</v>
      </c>
      <c r="O70" s="30" t="s">
        <v>101</v>
      </c>
      <c r="P70" s="5" t="s">
        <v>88</v>
      </c>
      <c r="Q70" s="5" t="s">
        <v>89</v>
      </c>
      <c r="R70" s="152"/>
      <c r="S70" s="21"/>
      <c r="T70" s="292" t="s">
        <v>317</v>
      </c>
      <c r="U70" s="16"/>
      <c r="V70" s="153" t="s">
        <v>115</v>
      </c>
      <c r="W70" s="267" t="s">
        <v>7</v>
      </c>
      <c r="X70" s="35"/>
      <c r="Y70" s="36"/>
      <c r="Z70" s="49"/>
      <c r="AA70" s="140"/>
    </row>
    <row r="71" spans="1:32" ht="17">
      <c r="A71" s="56">
        <v>1</v>
      </c>
      <c r="B71" s="56">
        <v>1</v>
      </c>
      <c r="D71" s="56">
        <v>1</v>
      </c>
      <c r="F71" s="56" t="s">
        <v>455</v>
      </c>
      <c r="G71" s="244" t="s">
        <v>524</v>
      </c>
      <c r="J71" s="138" t="s">
        <v>95</v>
      </c>
      <c r="K71" s="12" t="s">
        <v>93</v>
      </c>
      <c r="L71" s="14"/>
      <c r="M71" s="14" t="s">
        <v>380</v>
      </c>
      <c r="N71" s="14">
        <v>0</v>
      </c>
      <c r="O71" s="43" t="s">
        <v>101</v>
      </c>
      <c r="P71" s="5" t="s">
        <v>90</v>
      </c>
      <c r="Q71" s="5" t="s">
        <v>91</v>
      </c>
      <c r="R71" s="152"/>
      <c r="S71" s="21"/>
      <c r="T71" s="292" t="s">
        <v>317</v>
      </c>
      <c r="U71" s="16"/>
      <c r="V71" s="153" t="s">
        <v>115</v>
      </c>
      <c r="W71" s="267" t="s">
        <v>7</v>
      </c>
      <c r="X71" s="35"/>
      <c r="Y71" s="36"/>
      <c r="Z71" s="49"/>
      <c r="AA71" s="140"/>
    </row>
    <row r="72" spans="1:32" ht="17">
      <c r="A72" s="209"/>
      <c r="B72" s="209"/>
      <c r="C72" s="209"/>
      <c r="D72" s="209"/>
      <c r="E72" s="209"/>
      <c r="F72" s="219"/>
      <c r="G72" s="238" t="s">
        <v>554</v>
      </c>
      <c r="H72" s="219" t="s">
        <v>604</v>
      </c>
      <c r="I72" s="219"/>
      <c r="J72" s="212" t="s">
        <v>319</v>
      </c>
      <c r="K72" s="154" t="s">
        <v>320</v>
      </c>
      <c r="L72" s="121"/>
      <c r="M72" s="121"/>
      <c r="N72" s="121"/>
      <c r="O72" s="155"/>
      <c r="P72" s="297" t="s">
        <v>326</v>
      </c>
      <c r="Q72" s="156" t="s">
        <v>327</v>
      </c>
      <c r="R72" s="152"/>
      <c r="S72" s="21"/>
      <c r="T72" s="21"/>
      <c r="U72" s="21"/>
      <c r="V72" s="153" t="s">
        <v>338</v>
      </c>
      <c r="W72" s="157"/>
      <c r="X72" s="158"/>
      <c r="Y72" s="159"/>
      <c r="Z72" s="160"/>
      <c r="AA72" s="285" t="s">
        <v>7</v>
      </c>
    </row>
    <row r="73" spans="1:32" ht="17">
      <c r="A73" s="209"/>
      <c r="B73" s="209"/>
      <c r="C73" s="209"/>
      <c r="D73" s="209">
        <v>1</v>
      </c>
      <c r="E73" s="209"/>
      <c r="F73" s="209" t="s">
        <v>453</v>
      </c>
      <c r="G73" s="245" t="s">
        <v>507</v>
      </c>
      <c r="H73" s="209"/>
      <c r="I73" s="209"/>
      <c r="J73" s="213" t="s">
        <v>321</v>
      </c>
      <c r="K73" s="161" t="s">
        <v>131</v>
      </c>
      <c r="L73" s="121"/>
      <c r="M73" s="121"/>
      <c r="N73" s="121"/>
      <c r="O73" s="162"/>
      <c r="P73" s="156" t="s">
        <v>328</v>
      </c>
      <c r="Q73" s="156" t="s">
        <v>329</v>
      </c>
      <c r="R73" s="152"/>
      <c r="S73" s="21"/>
      <c r="T73" s="21"/>
      <c r="U73" s="21"/>
      <c r="V73" s="153" t="s">
        <v>115</v>
      </c>
      <c r="W73" s="157"/>
      <c r="X73" s="158"/>
      <c r="Y73" s="159"/>
      <c r="Z73" s="160"/>
      <c r="AA73" s="285" t="s">
        <v>7</v>
      </c>
    </row>
    <row r="74" spans="1:32" ht="17">
      <c r="A74" s="209"/>
      <c r="B74" s="209"/>
      <c r="C74" s="209"/>
      <c r="D74" s="209"/>
      <c r="E74" s="209"/>
      <c r="F74" s="209" t="s">
        <v>453</v>
      </c>
      <c r="G74" s="245" t="s">
        <v>508</v>
      </c>
      <c r="H74" s="209"/>
      <c r="I74" s="209"/>
      <c r="J74" s="213" t="s">
        <v>322</v>
      </c>
      <c r="K74" s="161" t="s">
        <v>140</v>
      </c>
      <c r="L74" s="121"/>
      <c r="M74" s="121"/>
      <c r="N74" s="121"/>
      <c r="O74" s="162"/>
      <c r="P74" s="156" t="s">
        <v>330</v>
      </c>
      <c r="Q74" s="156" t="s">
        <v>331</v>
      </c>
      <c r="R74" s="152"/>
      <c r="S74" s="21"/>
      <c r="T74" s="21"/>
      <c r="U74" s="21"/>
      <c r="V74" s="153" t="s">
        <v>115</v>
      </c>
      <c r="W74" s="157"/>
      <c r="X74" s="158"/>
      <c r="Y74" s="159"/>
      <c r="Z74" s="160"/>
      <c r="AA74" s="285" t="s">
        <v>7</v>
      </c>
    </row>
    <row r="75" spans="1:32" ht="34">
      <c r="A75" s="209"/>
      <c r="B75" s="209"/>
      <c r="C75" s="209"/>
      <c r="D75" s="209"/>
      <c r="E75" s="209"/>
      <c r="F75" s="219"/>
      <c r="G75" s="238" t="s">
        <v>554</v>
      </c>
      <c r="H75" s="219" t="s">
        <v>604</v>
      </c>
      <c r="I75" s="219"/>
      <c r="J75" s="213" t="s">
        <v>323</v>
      </c>
      <c r="K75" s="161" t="s">
        <v>140</v>
      </c>
      <c r="L75" s="121"/>
      <c r="M75" s="121"/>
      <c r="N75" s="121"/>
      <c r="O75" s="158"/>
      <c r="P75" s="156" t="s">
        <v>332</v>
      </c>
      <c r="Q75" s="156" t="s">
        <v>333</v>
      </c>
      <c r="R75" s="152"/>
      <c r="S75" s="21"/>
      <c r="T75" s="21"/>
      <c r="U75" s="21"/>
      <c r="V75" s="153" t="s">
        <v>119</v>
      </c>
      <c r="W75" s="157"/>
      <c r="X75" s="158"/>
      <c r="Y75" s="159"/>
      <c r="Z75" s="160"/>
      <c r="AA75" s="285" t="s">
        <v>7</v>
      </c>
    </row>
    <row r="76" spans="1:32" ht="34">
      <c r="A76" s="209"/>
      <c r="B76" s="209"/>
      <c r="C76" s="209"/>
      <c r="D76" s="209"/>
      <c r="E76" s="209"/>
      <c r="F76" s="209" t="s">
        <v>465</v>
      </c>
      <c r="G76" s="218" t="s">
        <v>554</v>
      </c>
      <c r="H76" s="209" t="s">
        <v>604</v>
      </c>
      <c r="I76" s="209" t="s">
        <v>604</v>
      </c>
      <c r="J76" s="213" t="s">
        <v>143</v>
      </c>
      <c r="K76" s="161" t="s">
        <v>93</v>
      </c>
      <c r="L76" s="121"/>
      <c r="M76" s="121"/>
      <c r="N76" s="121"/>
      <c r="O76" s="158"/>
      <c r="P76" s="156" t="s">
        <v>334</v>
      </c>
      <c r="Q76" s="156" t="s">
        <v>335</v>
      </c>
      <c r="R76" s="152"/>
      <c r="S76" s="21"/>
      <c r="T76" s="21"/>
      <c r="U76" s="21"/>
      <c r="V76" s="153" t="s">
        <v>119</v>
      </c>
      <c r="W76" s="157"/>
      <c r="X76" s="158"/>
      <c r="Y76" s="159"/>
      <c r="Z76" s="160"/>
      <c r="AA76" s="286" t="s">
        <v>7</v>
      </c>
    </row>
    <row r="77" spans="1:32" ht="18" thickBot="1">
      <c r="A77" s="209"/>
      <c r="B77" s="209"/>
      <c r="C77" s="209"/>
      <c r="D77" s="209"/>
      <c r="E77" s="209"/>
      <c r="F77" s="209" t="s">
        <v>465</v>
      </c>
      <c r="G77" s="218" t="s">
        <v>554</v>
      </c>
      <c r="H77" s="209" t="s">
        <v>604</v>
      </c>
      <c r="I77" s="209"/>
      <c r="J77" s="214" t="s">
        <v>324</v>
      </c>
      <c r="K77" s="163" t="s">
        <v>131</v>
      </c>
      <c r="L77" s="164"/>
      <c r="M77" s="164"/>
      <c r="N77" s="164"/>
      <c r="O77" s="165"/>
      <c r="P77" s="166" t="s">
        <v>336</v>
      </c>
      <c r="Q77" s="167" t="s">
        <v>337</v>
      </c>
      <c r="R77" s="168"/>
      <c r="S77" s="169"/>
      <c r="T77" s="169"/>
      <c r="U77" s="169"/>
      <c r="V77" s="170" t="s">
        <v>119</v>
      </c>
      <c r="W77" s="171"/>
      <c r="X77" s="165"/>
      <c r="Y77" s="172"/>
      <c r="Z77" s="173"/>
      <c r="AA77" s="287" t="s">
        <v>7</v>
      </c>
    </row>
    <row r="78" spans="1:32">
      <c r="A78" s="298" t="s">
        <v>98</v>
      </c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  <c r="AA78" s="298"/>
      <c r="AB78" s="298"/>
      <c r="AC78" s="298"/>
      <c r="AD78" s="298"/>
      <c r="AE78" s="298"/>
      <c r="AF78" s="298"/>
    </row>
    <row r="79" spans="1:32">
      <c r="A79" s="298" t="s">
        <v>99</v>
      </c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298"/>
      <c r="Z79" s="298"/>
      <c r="AA79" s="298"/>
      <c r="AB79" s="298"/>
      <c r="AC79" s="298"/>
      <c r="AD79" s="298"/>
      <c r="AE79" s="298"/>
      <c r="AF79" s="298"/>
    </row>
    <row r="80" spans="1:32">
      <c r="J80" s="11"/>
      <c r="K80" s="11"/>
      <c r="L80" s="11"/>
      <c r="M80" s="11"/>
      <c r="N80" s="11"/>
      <c r="O80" s="11"/>
      <c r="T80" t="s">
        <v>628</v>
      </c>
      <c r="Z80"/>
      <c r="AA80"/>
    </row>
    <row r="81" spans="1:28" ht="17">
      <c r="E81" s="56" t="s">
        <v>491</v>
      </c>
      <c r="G81" s="244" t="s">
        <v>531</v>
      </c>
      <c r="J81" t="s">
        <v>528</v>
      </c>
      <c r="K81" t="s">
        <v>561</v>
      </c>
    </row>
    <row r="82" spans="1:28" ht="17">
      <c r="G82" s="244" t="s">
        <v>532</v>
      </c>
      <c r="J82" t="s">
        <v>529</v>
      </c>
      <c r="K82" t="s">
        <v>562</v>
      </c>
    </row>
    <row r="83" spans="1:28" ht="17">
      <c r="G83" s="244" t="s">
        <v>533</v>
      </c>
      <c r="J83" t="s">
        <v>530</v>
      </c>
    </row>
    <row r="84" spans="1:28">
      <c r="A84" s="225" t="s">
        <v>482</v>
      </c>
      <c r="B84" s="224"/>
      <c r="C84" s="224"/>
      <c r="D84" s="224"/>
      <c r="E84" s="224"/>
      <c r="F84" s="224"/>
      <c r="G84" s="239"/>
      <c r="H84" s="224"/>
      <c r="I84" s="224"/>
      <c r="J84" s="225"/>
    </row>
    <row r="85" spans="1:28" ht="51">
      <c r="A85" s="56">
        <v>1</v>
      </c>
      <c r="B85" s="56">
        <v>1</v>
      </c>
      <c r="D85" s="56">
        <v>1</v>
      </c>
      <c r="F85" s="56" t="s">
        <v>455</v>
      </c>
      <c r="G85" s="7" t="s">
        <v>583</v>
      </c>
      <c r="J85" s="202" t="s">
        <v>418</v>
      </c>
      <c r="Q85" s="205" t="s">
        <v>419</v>
      </c>
      <c r="T85" s="294" t="s">
        <v>318</v>
      </c>
      <c r="W85" s="272"/>
    </row>
    <row r="86" spans="1:28" ht="17">
      <c r="A86" s="56">
        <v>1</v>
      </c>
      <c r="B86" s="56">
        <v>1</v>
      </c>
      <c r="F86" s="56" t="s">
        <v>455</v>
      </c>
      <c r="G86" s="246" t="s">
        <v>617</v>
      </c>
      <c r="H86" s="252" t="s">
        <v>585</v>
      </c>
      <c r="I86" s="252"/>
      <c r="J86" s="202" t="s">
        <v>420</v>
      </c>
      <c r="Q86" s="205" t="s">
        <v>421</v>
      </c>
      <c r="R86" s="222" t="s">
        <v>481</v>
      </c>
      <c r="T86" s="294" t="s">
        <v>317</v>
      </c>
      <c r="W86" s="272"/>
    </row>
    <row r="87" spans="1:28" ht="17">
      <c r="A87" s="56">
        <v>1</v>
      </c>
      <c r="B87" s="56">
        <v>1</v>
      </c>
      <c r="F87" s="56" t="s">
        <v>455</v>
      </c>
      <c r="G87" s="244" t="s">
        <v>518</v>
      </c>
      <c r="J87" s="202" t="s">
        <v>422</v>
      </c>
      <c r="Q87" s="205" t="s">
        <v>425</v>
      </c>
      <c r="T87" s="294" t="s">
        <v>318</v>
      </c>
      <c r="W87" s="272"/>
    </row>
    <row r="88" spans="1:28" ht="17">
      <c r="A88" s="56">
        <v>1</v>
      </c>
      <c r="B88" s="56">
        <v>1</v>
      </c>
      <c r="F88" s="56" t="s">
        <v>455</v>
      </c>
      <c r="G88" s="244" t="s">
        <v>517</v>
      </c>
      <c r="J88" s="202" t="s">
        <v>423</v>
      </c>
      <c r="Q88" s="205" t="s">
        <v>424</v>
      </c>
      <c r="T88" s="294" t="s">
        <v>318</v>
      </c>
      <c r="W88" s="272"/>
    </row>
    <row r="89" spans="1:28" ht="17">
      <c r="A89" s="56">
        <v>1</v>
      </c>
      <c r="B89" s="56">
        <v>1</v>
      </c>
      <c r="F89" s="56" t="s">
        <v>455</v>
      </c>
      <c r="G89" s="244" t="s">
        <v>519</v>
      </c>
      <c r="H89" s="7"/>
      <c r="I89" s="7"/>
      <c r="J89" s="202" t="s">
        <v>426</v>
      </c>
      <c r="Q89" s="205" t="s">
        <v>427</v>
      </c>
      <c r="T89" s="294" t="s">
        <v>318</v>
      </c>
      <c r="W89" s="272"/>
    </row>
    <row r="90" spans="1:28" ht="17">
      <c r="A90" s="56">
        <v>1</v>
      </c>
      <c r="B90" s="56">
        <v>1</v>
      </c>
      <c r="F90" s="56" t="s">
        <v>455</v>
      </c>
      <c r="G90" s="244" t="s">
        <v>513</v>
      </c>
      <c r="J90" s="202" t="s">
        <v>428</v>
      </c>
      <c r="Q90" s="205" t="s">
        <v>429</v>
      </c>
      <c r="T90" s="294" t="s">
        <v>392</v>
      </c>
      <c r="W90" s="272"/>
    </row>
    <row r="91" spans="1:28" ht="34">
      <c r="A91" s="56">
        <v>1</v>
      </c>
      <c r="B91" s="56">
        <v>1</v>
      </c>
      <c r="D91" s="56">
        <v>1</v>
      </c>
      <c r="F91" s="56" t="s">
        <v>455</v>
      </c>
      <c r="G91" s="255" t="s">
        <v>614</v>
      </c>
      <c r="H91" s="252" t="s">
        <v>609</v>
      </c>
      <c r="J91" s="228" t="s">
        <v>430</v>
      </c>
      <c r="K91" t="s">
        <v>93</v>
      </c>
      <c r="P91" t="s">
        <v>607</v>
      </c>
      <c r="Q91" s="205" t="s">
        <v>431</v>
      </c>
      <c r="R91" s="222" t="s">
        <v>481</v>
      </c>
      <c r="W91" s="272"/>
    </row>
    <row r="92" spans="1:28">
      <c r="A92" s="56">
        <v>1</v>
      </c>
      <c r="B92" s="56">
        <v>1</v>
      </c>
      <c r="J92" s="228" t="s">
        <v>432</v>
      </c>
      <c r="K92" t="s">
        <v>573</v>
      </c>
      <c r="Q92" s="205" t="s">
        <v>433</v>
      </c>
      <c r="T92" s="294" t="s">
        <v>317</v>
      </c>
      <c r="W92" s="272"/>
      <c r="AB92" t="s">
        <v>484</v>
      </c>
    </row>
    <row r="93" spans="1:28" ht="17">
      <c r="A93" s="56">
        <v>1</v>
      </c>
      <c r="B93" s="56">
        <v>1</v>
      </c>
      <c r="F93" s="56" t="s">
        <v>455</v>
      </c>
      <c r="G93" s="250" t="s">
        <v>574</v>
      </c>
      <c r="H93" s="252" t="s">
        <v>590</v>
      </c>
      <c r="I93" s="252"/>
      <c r="J93" s="228" t="s">
        <v>434</v>
      </c>
      <c r="Q93" s="205" t="s">
        <v>435</v>
      </c>
      <c r="T93" s="294" t="s">
        <v>318</v>
      </c>
      <c r="W93" s="272"/>
    </row>
    <row r="94" spans="1:28" ht="34">
      <c r="A94" s="56">
        <v>1</v>
      </c>
      <c r="B94" s="56">
        <v>1</v>
      </c>
      <c r="F94" s="56" t="s">
        <v>455</v>
      </c>
      <c r="G94" s="255" t="s">
        <v>613</v>
      </c>
      <c r="H94" s="252" t="s">
        <v>606</v>
      </c>
      <c r="J94" s="228" t="s">
        <v>436</v>
      </c>
      <c r="Q94" s="205" t="s">
        <v>437</v>
      </c>
      <c r="R94" s="222" t="s">
        <v>481</v>
      </c>
      <c r="T94" s="294" t="s">
        <v>318</v>
      </c>
      <c r="W94" s="272"/>
      <c r="AB94" t="s">
        <v>483</v>
      </c>
    </row>
    <row r="95" spans="1:28" ht="17">
      <c r="A95" s="56">
        <v>1</v>
      </c>
      <c r="B95" s="56">
        <v>1</v>
      </c>
      <c r="D95" s="56">
        <v>1</v>
      </c>
      <c r="F95" s="56" t="s">
        <v>453</v>
      </c>
      <c r="G95" s="244" t="s">
        <v>567</v>
      </c>
      <c r="H95" s="252" t="s">
        <v>584</v>
      </c>
      <c r="I95" s="252"/>
      <c r="J95" s="202" t="s">
        <v>438</v>
      </c>
      <c r="Q95" s="205" t="s">
        <v>349</v>
      </c>
      <c r="T95" s="294" t="s">
        <v>317</v>
      </c>
      <c r="W95" s="272"/>
    </row>
    <row r="96" spans="1:28" ht="17">
      <c r="C96" s="56" t="s">
        <v>450</v>
      </c>
      <c r="E96" s="56" t="s">
        <v>448</v>
      </c>
      <c r="F96" s="56" t="s">
        <v>455</v>
      </c>
      <c r="G96" s="7" t="s">
        <v>575</v>
      </c>
      <c r="J96" s="202" t="s">
        <v>447</v>
      </c>
      <c r="Q96" s="205" t="s">
        <v>449</v>
      </c>
      <c r="T96" s="294" t="s">
        <v>629</v>
      </c>
    </row>
    <row r="97" spans="1:23">
      <c r="A97" s="224" t="s">
        <v>488</v>
      </c>
      <c r="B97" s="224"/>
      <c r="C97" s="224"/>
      <c r="D97" s="224"/>
      <c r="E97" s="224"/>
      <c r="F97" s="224"/>
      <c r="G97" s="239"/>
      <c r="H97" s="224"/>
      <c r="I97" s="224"/>
      <c r="J97" s="223"/>
      <c r="Q97" s="205"/>
    </row>
    <row r="98" spans="1:23" ht="17">
      <c r="D98" s="56">
        <v>1</v>
      </c>
      <c r="F98" s="56" t="s">
        <v>452</v>
      </c>
      <c r="G98" s="7" t="s">
        <v>556</v>
      </c>
      <c r="J98" s="202" t="s">
        <v>451</v>
      </c>
      <c r="Q98" s="205" t="s">
        <v>486</v>
      </c>
    </row>
    <row r="99" spans="1:23">
      <c r="A99" s="235"/>
      <c r="B99" s="235"/>
      <c r="C99" s="235"/>
      <c r="D99" s="235">
        <v>1</v>
      </c>
      <c r="E99" s="235"/>
      <c r="F99" s="235"/>
      <c r="G99" s="240"/>
      <c r="H99" s="235"/>
      <c r="I99" s="235"/>
      <c r="J99" s="236" t="s">
        <v>489</v>
      </c>
      <c r="Q99" s="205" t="s">
        <v>490</v>
      </c>
    </row>
    <row r="100" spans="1:23">
      <c r="J100" s="202"/>
      <c r="Q100" s="205"/>
    </row>
    <row r="101" spans="1:23">
      <c r="A101" s="223" t="s">
        <v>485</v>
      </c>
      <c r="B101" s="224"/>
      <c r="C101" s="224"/>
      <c r="D101" s="224"/>
      <c r="E101" s="224"/>
      <c r="F101" s="224"/>
      <c r="G101" s="239"/>
      <c r="H101" s="224"/>
      <c r="I101" s="224"/>
      <c r="J101" s="223"/>
    </row>
    <row r="102" spans="1:23" ht="17">
      <c r="D102" s="56">
        <v>1</v>
      </c>
      <c r="F102" s="56" t="s">
        <v>453</v>
      </c>
      <c r="G102" s="244" t="s">
        <v>569</v>
      </c>
      <c r="J102" s="202" t="s">
        <v>454</v>
      </c>
      <c r="T102" s="294" t="s">
        <v>317</v>
      </c>
      <c r="W102" s="272"/>
    </row>
    <row r="103" spans="1:23" ht="17">
      <c r="F103" s="56" t="s">
        <v>455</v>
      </c>
      <c r="G103" s="244" t="s">
        <v>510</v>
      </c>
      <c r="J103" s="202" t="s">
        <v>456</v>
      </c>
      <c r="T103" s="294" t="s">
        <v>318</v>
      </c>
    </row>
    <row r="104" spans="1:23" ht="17">
      <c r="F104" s="56" t="s">
        <v>455</v>
      </c>
      <c r="G104" s="244" t="s">
        <v>511</v>
      </c>
      <c r="J104" s="202" t="s">
        <v>457</v>
      </c>
      <c r="T104" s="294" t="s">
        <v>318</v>
      </c>
    </row>
    <row r="105" spans="1:23" ht="17">
      <c r="F105" s="56" t="s">
        <v>455</v>
      </c>
      <c r="G105" s="7" t="s">
        <v>514</v>
      </c>
      <c r="J105" s="202" t="s">
        <v>458</v>
      </c>
      <c r="T105" s="294" t="s">
        <v>318</v>
      </c>
    </row>
    <row r="106" spans="1:23" ht="34">
      <c r="F106" s="56" t="s">
        <v>455</v>
      </c>
      <c r="G106" s="255" t="s">
        <v>618</v>
      </c>
      <c r="H106" s="252" t="s">
        <v>610</v>
      </c>
      <c r="J106" s="202" t="s">
        <v>459</v>
      </c>
      <c r="T106" s="294" t="s">
        <v>317</v>
      </c>
    </row>
    <row r="107" spans="1:23" ht="17">
      <c r="F107" s="56" t="s">
        <v>455</v>
      </c>
      <c r="G107" s="255" t="s">
        <v>525</v>
      </c>
      <c r="H107" s="252" t="s">
        <v>610</v>
      </c>
      <c r="J107" s="202" t="s">
        <v>460</v>
      </c>
      <c r="T107" s="294" t="s">
        <v>317</v>
      </c>
    </row>
    <row r="108" spans="1:23" ht="17">
      <c r="F108" s="56" t="s">
        <v>455</v>
      </c>
      <c r="G108" s="255" t="s">
        <v>525</v>
      </c>
      <c r="H108" s="252" t="s">
        <v>610</v>
      </c>
      <c r="J108" s="202" t="s">
        <v>526</v>
      </c>
      <c r="T108" s="294" t="s">
        <v>317</v>
      </c>
    </row>
    <row r="109" spans="1:23" ht="34">
      <c r="F109" s="56" t="s">
        <v>455</v>
      </c>
      <c r="G109" s="246" t="s">
        <v>619</v>
      </c>
      <c r="H109" s="252" t="s">
        <v>589</v>
      </c>
      <c r="J109" s="202" t="s">
        <v>461</v>
      </c>
      <c r="T109" s="294" t="s">
        <v>317</v>
      </c>
    </row>
    <row r="110" spans="1:23" ht="17">
      <c r="F110" s="56" t="s">
        <v>455</v>
      </c>
      <c r="G110" s="7" t="s">
        <v>534</v>
      </c>
      <c r="J110" s="202" t="s">
        <v>462</v>
      </c>
      <c r="K110" t="s">
        <v>576</v>
      </c>
      <c r="Q110" s="234" t="s">
        <v>433</v>
      </c>
    </row>
    <row r="111" spans="1:23" ht="17">
      <c r="F111" s="56" t="s">
        <v>455</v>
      </c>
      <c r="G111" s="244" t="s">
        <v>497</v>
      </c>
      <c r="J111">
        <v>600</v>
      </c>
      <c r="K111" t="s">
        <v>463</v>
      </c>
    </row>
    <row r="112" spans="1:23" ht="17">
      <c r="F112" s="56" t="s">
        <v>455</v>
      </c>
      <c r="G112" s="244" t="s">
        <v>497</v>
      </c>
      <c r="J112">
        <v>400</v>
      </c>
    </row>
    <row r="113" spans="6:12" ht="17">
      <c r="F113" s="56" t="s">
        <v>455</v>
      </c>
      <c r="G113" s="244" t="s">
        <v>497</v>
      </c>
      <c r="J113">
        <v>300</v>
      </c>
    </row>
    <row r="114" spans="6:12" ht="17">
      <c r="F114" s="56" t="s">
        <v>455</v>
      </c>
      <c r="G114" s="244" t="s">
        <v>497</v>
      </c>
      <c r="J114">
        <v>250</v>
      </c>
    </row>
    <row r="115" spans="6:12" ht="17">
      <c r="F115" s="56" t="s">
        <v>465</v>
      </c>
      <c r="G115" s="244" t="s">
        <v>497</v>
      </c>
      <c r="J115">
        <v>150</v>
      </c>
    </row>
    <row r="116" spans="6:12" ht="17">
      <c r="F116" s="56" t="s">
        <v>465</v>
      </c>
      <c r="G116" s="244" t="s">
        <v>497</v>
      </c>
      <c r="J116">
        <v>100</v>
      </c>
    </row>
    <row r="117" spans="6:12" ht="17">
      <c r="F117" s="56" t="s">
        <v>465</v>
      </c>
      <c r="G117" s="244" t="s">
        <v>497</v>
      </c>
      <c r="J117">
        <v>70</v>
      </c>
    </row>
    <row r="118" spans="6:12" ht="17">
      <c r="F118" s="56" t="s">
        <v>465</v>
      </c>
      <c r="G118" s="244" t="s">
        <v>497</v>
      </c>
      <c r="J118">
        <v>50</v>
      </c>
      <c r="L118" t="s">
        <v>557</v>
      </c>
    </row>
    <row r="119" spans="6:12" ht="17">
      <c r="F119" s="56" t="s">
        <v>455</v>
      </c>
      <c r="G119" s="244" t="s">
        <v>492</v>
      </c>
      <c r="J119" t="s">
        <v>542</v>
      </c>
      <c r="L119" t="s">
        <v>577</v>
      </c>
    </row>
    <row r="120" spans="6:12" ht="17">
      <c r="F120" s="56" t="s">
        <v>455</v>
      </c>
      <c r="G120" s="244" t="s">
        <v>493</v>
      </c>
      <c r="J120" t="s">
        <v>543</v>
      </c>
    </row>
    <row r="121" spans="6:12" ht="17">
      <c r="F121" s="56" t="s">
        <v>455</v>
      </c>
      <c r="G121" s="244" t="s">
        <v>492</v>
      </c>
      <c r="J121" t="s">
        <v>544</v>
      </c>
    </row>
    <row r="122" spans="6:12" ht="17">
      <c r="F122" s="56" t="s">
        <v>455</v>
      </c>
      <c r="G122" s="244" t="s">
        <v>493</v>
      </c>
      <c r="J122" t="s">
        <v>545</v>
      </c>
    </row>
    <row r="123" spans="6:12" ht="17">
      <c r="F123" s="56" t="s">
        <v>455</v>
      </c>
      <c r="G123" s="244" t="s">
        <v>579</v>
      </c>
      <c r="J123" t="s">
        <v>546</v>
      </c>
      <c r="L123" t="s">
        <v>578</v>
      </c>
    </row>
    <row r="124" spans="6:12" ht="17">
      <c r="F124" s="56" t="s">
        <v>455</v>
      </c>
      <c r="G124" s="244" t="s">
        <v>496</v>
      </c>
      <c r="J124" t="s">
        <v>547</v>
      </c>
      <c r="L124" t="s">
        <v>578</v>
      </c>
    </row>
    <row r="125" spans="6:12" ht="17">
      <c r="F125" s="56" t="s">
        <v>465</v>
      </c>
      <c r="G125" s="7" t="s">
        <v>554</v>
      </c>
      <c r="H125" s="56" t="s">
        <v>604</v>
      </c>
      <c r="J125" t="s">
        <v>466</v>
      </c>
    </row>
    <row r="126" spans="6:12" ht="17">
      <c r="F126" s="56" t="s">
        <v>465</v>
      </c>
      <c r="G126" s="7" t="s">
        <v>554</v>
      </c>
      <c r="H126" s="56" t="s">
        <v>604</v>
      </c>
      <c r="J126" t="s">
        <v>467</v>
      </c>
    </row>
    <row r="127" spans="6:12" ht="17">
      <c r="F127" s="56" t="s">
        <v>465</v>
      </c>
      <c r="G127" s="244" t="s">
        <v>492</v>
      </c>
      <c r="J127" t="s">
        <v>548</v>
      </c>
    </row>
    <row r="128" spans="6:12" ht="17">
      <c r="F128" s="56" t="s">
        <v>465</v>
      </c>
      <c r="G128" s="244" t="s">
        <v>493</v>
      </c>
      <c r="J128" t="s">
        <v>549</v>
      </c>
    </row>
    <row r="129" spans="6:13" ht="17">
      <c r="F129" s="56" t="s">
        <v>465</v>
      </c>
      <c r="G129" s="244" t="s">
        <v>492</v>
      </c>
      <c r="J129" t="s">
        <v>550</v>
      </c>
    </row>
    <row r="130" spans="6:13" ht="17">
      <c r="F130" s="56" t="s">
        <v>465</v>
      </c>
      <c r="G130" s="244" t="s">
        <v>493</v>
      </c>
      <c r="J130" t="s">
        <v>551</v>
      </c>
    </row>
    <row r="131" spans="6:13" ht="17">
      <c r="F131" s="56" t="s">
        <v>465</v>
      </c>
      <c r="G131" s="244" t="s">
        <v>492</v>
      </c>
      <c r="J131" t="s">
        <v>552</v>
      </c>
    </row>
    <row r="132" spans="6:13" ht="17">
      <c r="F132" s="56" t="s">
        <v>465</v>
      </c>
      <c r="G132" s="244" t="s">
        <v>493</v>
      </c>
      <c r="J132" t="s">
        <v>553</v>
      </c>
    </row>
    <row r="133" spans="6:13" ht="17">
      <c r="F133" s="56" t="s">
        <v>465</v>
      </c>
      <c r="G133" s="7" t="s">
        <v>537</v>
      </c>
      <c r="J133" t="s">
        <v>468</v>
      </c>
    </row>
    <row r="134" spans="6:13" ht="17">
      <c r="F134" s="56" t="s">
        <v>465</v>
      </c>
      <c r="G134" s="7" t="s">
        <v>539</v>
      </c>
      <c r="J134" t="s">
        <v>469</v>
      </c>
    </row>
    <row r="135" spans="6:13" ht="17">
      <c r="F135" s="56" t="s">
        <v>465</v>
      </c>
      <c r="G135" s="246" t="s">
        <v>534</v>
      </c>
      <c r="J135" t="s">
        <v>470</v>
      </c>
    </row>
    <row r="136" spans="6:13" ht="17">
      <c r="F136" s="56" t="s">
        <v>465</v>
      </c>
      <c r="G136" s="246" t="s">
        <v>534</v>
      </c>
      <c r="J136" t="s">
        <v>540</v>
      </c>
    </row>
    <row r="137" spans="6:13" ht="17">
      <c r="F137" s="56" t="s">
        <v>465</v>
      </c>
      <c r="G137" s="251" t="s">
        <v>535</v>
      </c>
      <c r="J137" t="s">
        <v>471</v>
      </c>
    </row>
    <row r="138" spans="6:13" ht="17">
      <c r="F138" s="56" t="s">
        <v>465</v>
      </c>
      <c r="G138" s="7" t="s">
        <v>534</v>
      </c>
      <c r="J138" s="220" t="s">
        <v>472</v>
      </c>
      <c r="L138" s="56" t="s">
        <v>563</v>
      </c>
      <c r="M138" s="56" t="s">
        <v>564</v>
      </c>
    </row>
    <row r="139" spans="6:13" ht="17">
      <c r="F139" s="56" t="s">
        <v>465</v>
      </c>
      <c r="G139" s="7" t="s">
        <v>534</v>
      </c>
      <c r="J139" s="220" t="s">
        <v>473</v>
      </c>
      <c r="L139" s="56" t="s">
        <v>563</v>
      </c>
    </row>
    <row r="140" spans="6:13" ht="17">
      <c r="F140" s="56" t="s">
        <v>465</v>
      </c>
      <c r="G140" s="7" t="s">
        <v>534</v>
      </c>
      <c r="J140" s="220" t="s">
        <v>474</v>
      </c>
      <c r="L140" s="56" t="s">
        <v>563</v>
      </c>
    </row>
    <row r="141" spans="6:13" ht="17">
      <c r="F141" s="56" t="s">
        <v>465</v>
      </c>
      <c r="G141" s="7" t="s">
        <v>534</v>
      </c>
      <c r="J141" s="220" t="s">
        <v>475</v>
      </c>
      <c r="L141" s="56" t="s">
        <v>563</v>
      </c>
    </row>
    <row r="142" spans="6:13" ht="17">
      <c r="F142" s="56" t="s">
        <v>465</v>
      </c>
      <c r="G142" s="7" t="s">
        <v>534</v>
      </c>
      <c r="J142" s="220" t="s">
        <v>476</v>
      </c>
      <c r="L142" s="56" t="s">
        <v>563</v>
      </c>
    </row>
    <row r="143" spans="6:13" ht="17">
      <c r="F143" s="56" t="s">
        <v>465</v>
      </c>
      <c r="G143" s="7" t="s">
        <v>534</v>
      </c>
      <c r="J143" s="220" t="s">
        <v>477</v>
      </c>
      <c r="L143" s="56" t="s">
        <v>563</v>
      </c>
    </row>
    <row r="144" spans="6:13" ht="17">
      <c r="F144" s="56" t="s">
        <v>465</v>
      </c>
      <c r="G144" s="7" t="s">
        <v>554</v>
      </c>
      <c r="J144" s="220" t="s">
        <v>555</v>
      </c>
    </row>
    <row r="145" spans="6:16">
      <c r="F145" s="221" t="s">
        <v>478</v>
      </c>
      <c r="G145" s="241"/>
      <c r="H145" s="221"/>
      <c r="I145" s="221"/>
    </row>
    <row r="147" spans="6:16">
      <c r="M147" s="233" t="s">
        <v>541</v>
      </c>
    </row>
    <row r="148" spans="6:16">
      <c r="H148" s="252" t="s">
        <v>587</v>
      </c>
      <c r="I148" s="252"/>
    </row>
    <row r="149" spans="6:16">
      <c r="H149" s="252" t="s">
        <v>588</v>
      </c>
      <c r="I149" s="252"/>
    </row>
    <row r="150" spans="6:16">
      <c r="H150" s="252" t="s">
        <v>592</v>
      </c>
      <c r="I150" s="252"/>
    </row>
    <row r="151" spans="6:16">
      <c r="H151" s="252" t="s">
        <v>593</v>
      </c>
      <c r="I151" s="252"/>
    </row>
    <row r="152" spans="6:16">
      <c r="H152" s="252" t="s">
        <v>595</v>
      </c>
      <c r="I152" s="252"/>
    </row>
    <row r="153" spans="6:16">
      <c r="H153" s="252" t="s">
        <v>596</v>
      </c>
      <c r="I153" s="252"/>
    </row>
    <row r="154" spans="6:16">
      <c r="H154" s="252" t="s">
        <v>602</v>
      </c>
      <c r="I154" s="252"/>
      <c r="K154" t="s">
        <v>136</v>
      </c>
      <c r="P154" s="256" t="s">
        <v>624</v>
      </c>
    </row>
    <row r="155" spans="6:16">
      <c r="H155" s="252"/>
    </row>
    <row r="156" spans="6:16">
      <c r="H156" s="252"/>
    </row>
    <row r="157" spans="6:16">
      <c r="H157" s="257" t="s">
        <v>626</v>
      </c>
    </row>
    <row r="158" spans="6:16">
      <c r="H158" s="7"/>
    </row>
  </sheetData>
  <mergeCells count="2">
    <mergeCell ref="A78:AF78"/>
    <mergeCell ref="A79:AF79"/>
  </mergeCells>
  <phoneticPr fontId="23" type="noConversion"/>
  <hyperlinks>
    <hyperlink ref="F145" r:id="rId1" location="gid=1534498777" xr:uid="{4B9A67AF-E91E-D941-93B9-F08B7D0B957C}"/>
  </hyperlinks>
  <pageMargins left="0.75" right="0.75" top="1" bottom="1" header="0.5" footer="0.5"/>
  <pageSetup paperSize="9" scale="45" orientation="portrait" horizontalDpi="4294967292" verticalDpi="4294967292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22"/>
  <sheetViews>
    <sheetView tabSelected="1" topLeftCell="H1" zoomScaleNormal="100" zoomScalePageLayoutView="125" workbookViewId="0">
      <selection activeCell="G2" sqref="A1:G1048576"/>
    </sheetView>
  </sheetViews>
  <sheetFormatPr baseColWidth="10" defaultRowHeight="16"/>
  <cols>
    <col min="1" max="7" width="27.5" style="56" hidden="1" customWidth="1"/>
    <col min="8" max="8" width="13" customWidth="1"/>
    <col min="9" max="11" width="0" hidden="1" customWidth="1"/>
    <col min="12" max="12" width="11.83203125" hidden="1" customWidth="1"/>
    <col min="13" max="13" width="0" hidden="1" customWidth="1"/>
    <col min="14" max="14" width="23.6640625" hidden="1" customWidth="1"/>
    <col min="15" max="15" width="33" customWidth="1"/>
    <col min="16" max="20" width="23.6640625" hidden="1" customWidth="1"/>
    <col min="24" max="25" width="10" style="10" customWidth="1"/>
    <col min="26" max="26" width="18.83203125" customWidth="1"/>
  </cols>
  <sheetData>
    <row r="1" spans="1:30" ht="17">
      <c r="A1" s="203"/>
      <c r="B1" s="203"/>
      <c r="C1" s="203"/>
      <c r="D1" s="203"/>
      <c r="E1" s="203"/>
      <c r="F1" s="203"/>
      <c r="G1" s="232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Z1" s="3" t="s">
        <v>404</v>
      </c>
    </row>
    <row r="2" spans="1:30" ht="17" thickBot="1">
      <c r="A2" s="56" t="s">
        <v>415</v>
      </c>
      <c r="H2" s="146" t="s">
        <v>381</v>
      </c>
      <c r="Z2" s="4"/>
    </row>
    <row r="3" spans="1:30" ht="51">
      <c r="A3" s="204" t="s">
        <v>416</v>
      </c>
      <c r="B3" s="204" t="s">
        <v>417</v>
      </c>
      <c r="C3" s="204" t="s">
        <v>440</v>
      </c>
      <c r="D3" s="204" t="s">
        <v>439</v>
      </c>
      <c r="E3" s="204" t="s">
        <v>446</v>
      </c>
      <c r="F3" s="204"/>
      <c r="G3" s="230"/>
      <c r="H3" s="123" t="s">
        <v>4</v>
      </c>
      <c r="I3" s="124" t="s">
        <v>84</v>
      </c>
      <c r="J3" s="125" t="s">
        <v>377</v>
      </c>
      <c r="K3" s="125" t="s">
        <v>376</v>
      </c>
      <c r="L3" s="125" t="s">
        <v>375</v>
      </c>
      <c r="M3" s="125" t="s">
        <v>85</v>
      </c>
      <c r="N3" s="126" t="s">
        <v>83</v>
      </c>
      <c r="O3" s="127" t="s">
        <v>82</v>
      </c>
      <c r="P3" s="126" t="s">
        <v>96</v>
      </c>
      <c r="Q3" s="128" t="s">
        <v>103</v>
      </c>
      <c r="R3" s="128" t="s">
        <v>362</v>
      </c>
      <c r="S3" s="128" t="s">
        <v>100</v>
      </c>
      <c r="T3" s="129" t="s">
        <v>97</v>
      </c>
      <c r="U3" s="130" t="s">
        <v>0</v>
      </c>
      <c r="V3" s="131" t="s">
        <v>1</v>
      </c>
      <c r="W3" s="131" t="s">
        <v>2</v>
      </c>
      <c r="X3" s="131" t="s">
        <v>3</v>
      </c>
      <c r="Y3" s="132" t="s">
        <v>148</v>
      </c>
    </row>
    <row r="4" spans="1:30" ht="34">
      <c r="A4" s="204">
        <v>1</v>
      </c>
      <c r="B4" s="204">
        <v>1</v>
      </c>
      <c r="C4" s="204"/>
      <c r="D4" s="204"/>
      <c r="E4" s="204"/>
      <c r="F4" s="204" t="s">
        <v>455</v>
      </c>
      <c r="G4" s="249" t="s">
        <v>522</v>
      </c>
      <c r="H4" s="133" t="s">
        <v>354</v>
      </c>
      <c r="I4" s="174" t="s">
        <v>131</v>
      </c>
      <c r="J4" s="175"/>
      <c r="K4" s="175" t="s">
        <v>380</v>
      </c>
      <c r="L4" s="175">
        <v>0</v>
      </c>
      <c r="M4" s="25" t="s">
        <v>101</v>
      </c>
      <c r="N4" t="s">
        <v>356</v>
      </c>
      <c r="O4" s="5" t="s">
        <v>355</v>
      </c>
      <c r="P4" s="42"/>
      <c r="Q4" s="42"/>
      <c r="R4" s="176" t="s">
        <v>317</v>
      </c>
      <c r="S4" s="19"/>
      <c r="T4" s="176" t="s">
        <v>115</v>
      </c>
      <c r="U4" s="275" t="s">
        <v>7</v>
      </c>
      <c r="V4" s="177"/>
      <c r="W4" s="30"/>
      <c r="X4" s="178"/>
      <c r="Y4" s="134"/>
    </row>
    <row r="5" spans="1:30" ht="34">
      <c r="A5" s="215"/>
      <c r="B5" s="215"/>
      <c r="C5" s="215"/>
      <c r="D5" s="215"/>
      <c r="E5" s="215"/>
      <c r="F5" s="215"/>
      <c r="G5" s="231" t="s">
        <v>559</v>
      </c>
      <c r="H5" s="211" t="s">
        <v>344</v>
      </c>
      <c r="I5" s="179" t="s">
        <v>114</v>
      </c>
      <c r="J5" s="14"/>
      <c r="K5" s="14" t="s">
        <v>380</v>
      </c>
      <c r="L5" s="14">
        <v>100</v>
      </c>
      <c r="M5" s="35"/>
      <c r="N5" s="176" t="s">
        <v>345</v>
      </c>
      <c r="O5" s="152" t="s">
        <v>346</v>
      </c>
      <c r="P5" s="14" t="s">
        <v>325</v>
      </c>
      <c r="Q5" s="21"/>
      <c r="R5" s="14" t="s">
        <v>363</v>
      </c>
      <c r="S5" s="19"/>
      <c r="T5" s="121" t="s">
        <v>115</v>
      </c>
      <c r="U5" s="280"/>
      <c r="V5" s="180"/>
      <c r="W5" s="30"/>
      <c r="X5" s="284" t="s">
        <v>7</v>
      </c>
      <c r="Y5" s="135"/>
    </row>
    <row r="6" spans="1:30" ht="51">
      <c r="A6" s="215"/>
      <c r="B6" s="215"/>
      <c r="C6" s="215"/>
      <c r="D6" s="215"/>
      <c r="E6" s="215"/>
      <c r="F6" s="215"/>
      <c r="G6" s="231" t="s">
        <v>534</v>
      </c>
      <c r="H6" s="216" t="s">
        <v>383</v>
      </c>
      <c r="I6" s="8" t="s">
        <v>389</v>
      </c>
      <c r="J6" s="14"/>
      <c r="K6" s="14" t="s">
        <v>380</v>
      </c>
      <c r="L6" s="14">
        <v>0</v>
      </c>
      <c r="M6" s="35"/>
      <c r="N6" s="14" t="s">
        <v>385</v>
      </c>
      <c r="O6" s="152" t="s">
        <v>383</v>
      </c>
      <c r="P6" s="182" t="s">
        <v>391</v>
      </c>
      <c r="Q6" s="21"/>
      <c r="R6" s="14" t="s">
        <v>392</v>
      </c>
      <c r="S6" s="183"/>
      <c r="T6" s="121"/>
      <c r="U6" s="276"/>
      <c r="V6" s="180"/>
      <c r="W6" s="30"/>
      <c r="X6" s="181" t="s">
        <v>7</v>
      </c>
      <c r="Y6" s="135"/>
    </row>
    <row r="7" spans="1:30" ht="51">
      <c r="A7" s="215"/>
      <c r="B7" s="215"/>
      <c r="C7" s="215"/>
      <c r="D7" s="215"/>
      <c r="E7" s="215"/>
      <c r="F7" s="215"/>
      <c r="G7" s="231" t="s">
        <v>534</v>
      </c>
      <c r="H7" s="216" t="s">
        <v>384</v>
      </c>
      <c r="I7" s="8" t="s">
        <v>389</v>
      </c>
      <c r="J7" s="14"/>
      <c r="K7" s="14" t="s">
        <v>380</v>
      </c>
      <c r="L7" s="14">
        <v>0</v>
      </c>
      <c r="M7" s="35"/>
      <c r="N7" s="14" t="s">
        <v>386</v>
      </c>
      <c r="O7" s="152" t="s">
        <v>387</v>
      </c>
      <c r="P7" s="182" t="s">
        <v>391</v>
      </c>
      <c r="Q7" s="21"/>
      <c r="R7" s="14" t="s">
        <v>392</v>
      </c>
      <c r="S7" s="183"/>
      <c r="T7" s="121"/>
      <c r="U7" s="276"/>
      <c r="V7" s="180"/>
      <c r="W7" s="30"/>
      <c r="X7" s="181" t="s">
        <v>7</v>
      </c>
      <c r="Y7" s="135"/>
    </row>
    <row r="8" spans="1:30" ht="51">
      <c r="A8" s="215"/>
      <c r="B8" s="215"/>
      <c r="C8" s="215"/>
      <c r="D8" s="215"/>
      <c r="E8" s="215"/>
      <c r="F8" s="215"/>
      <c r="G8" s="231" t="s">
        <v>534</v>
      </c>
      <c r="H8" s="216" t="s">
        <v>388</v>
      </c>
      <c r="I8" s="8" t="s">
        <v>389</v>
      </c>
      <c r="J8" s="14"/>
      <c r="K8" s="14" t="s">
        <v>380</v>
      </c>
      <c r="L8" s="14">
        <v>0</v>
      </c>
      <c r="M8" s="184"/>
      <c r="N8" s="185" t="s">
        <v>365</v>
      </c>
      <c r="O8" s="152" t="s">
        <v>388</v>
      </c>
      <c r="P8" s="152" t="s">
        <v>390</v>
      </c>
      <c r="Q8" s="14"/>
      <c r="R8" s="185" t="s">
        <v>392</v>
      </c>
      <c r="S8" s="183"/>
      <c r="T8" s="121" t="s">
        <v>115</v>
      </c>
      <c r="U8" s="277"/>
      <c r="V8" s="43"/>
      <c r="W8" s="43"/>
      <c r="X8" s="46" t="s">
        <v>7</v>
      </c>
      <c r="Y8" s="135"/>
    </row>
    <row r="9" spans="1:30" ht="51">
      <c r="A9" s="209"/>
      <c r="B9" s="209"/>
      <c r="C9" s="209"/>
      <c r="D9" s="209"/>
      <c r="E9" s="209"/>
      <c r="F9" s="209"/>
      <c r="G9" s="243" t="s">
        <v>560</v>
      </c>
      <c r="H9" s="216" t="s">
        <v>401</v>
      </c>
      <c r="I9" s="186" t="s">
        <v>93</v>
      </c>
      <c r="J9" s="121"/>
      <c r="K9" s="14" t="s">
        <v>380</v>
      </c>
      <c r="L9" s="121">
        <v>0</v>
      </c>
      <c r="M9" s="187" t="s">
        <v>101</v>
      </c>
      <c r="N9" s="14" t="s">
        <v>396</v>
      </c>
      <c r="O9" s="188" t="s">
        <v>397</v>
      </c>
      <c r="P9" s="14" t="s">
        <v>398</v>
      </c>
      <c r="Q9" s="16"/>
      <c r="R9" s="189" t="s">
        <v>317</v>
      </c>
      <c r="S9" s="183"/>
      <c r="T9" s="14" t="s">
        <v>115</v>
      </c>
      <c r="U9" s="278" t="s">
        <v>7</v>
      </c>
      <c r="V9" s="190"/>
      <c r="W9" s="187"/>
      <c r="X9" s="48"/>
      <c r="Y9" s="135"/>
    </row>
    <row r="10" spans="1:30" ht="51">
      <c r="A10" s="209"/>
      <c r="B10" s="209"/>
      <c r="C10" s="209"/>
      <c r="D10" s="209"/>
      <c r="E10" s="209"/>
      <c r="F10" s="209"/>
      <c r="G10" s="209" t="s">
        <v>559</v>
      </c>
      <c r="H10" s="217" t="s">
        <v>402</v>
      </c>
      <c r="I10" s="121" t="s">
        <v>93</v>
      </c>
      <c r="J10" s="121"/>
      <c r="K10" s="14" t="s">
        <v>380</v>
      </c>
      <c r="L10" s="121">
        <v>0</v>
      </c>
      <c r="M10" s="30" t="s">
        <v>101</v>
      </c>
      <c r="N10" s="14" t="s">
        <v>399</v>
      </c>
      <c r="O10" s="188" t="s">
        <v>400</v>
      </c>
      <c r="P10" s="14" t="s">
        <v>398</v>
      </c>
      <c r="Q10" s="16"/>
      <c r="R10" s="14" t="s">
        <v>317</v>
      </c>
      <c r="S10" s="20"/>
      <c r="T10" s="14"/>
      <c r="U10" s="279" t="s">
        <v>7</v>
      </c>
      <c r="V10" s="30"/>
      <c r="W10" s="31"/>
      <c r="X10" s="49"/>
      <c r="Y10" s="136"/>
    </row>
    <row r="11" spans="1:30" ht="34">
      <c r="A11" s="56">
        <v>1</v>
      </c>
      <c r="B11" s="56">
        <v>1</v>
      </c>
      <c r="F11" s="56" t="s">
        <v>465</v>
      </c>
      <c r="G11" s="242" t="s">
        <v>536</v>
      </c>
      <c r="H11" s="191" t="s">
        <v>75</v>
      </c>
      <c r="I11" s="121" t="s">
        <v>393</v>
      </c>
      <c r="J11" s="121"/>
      <c r="K11" s="14" t="s">
        <v>380</v>
      </c>
      <c r="L11" s="121">
        <v>0</v>
      </c>
      <c r="M11" s="30"/>
      <c r="N11" s="14" t="s">
        <v>359</v>
      </c>
      <c r="O11" s="14" t="s">
        <v>394</v>
      </c>
      <c r="P11" s="182" t="s">
        <v>358</v>
      </c>
      <c r="Q11" s="14"/>
      <c r="R11" s="290" t="s">
        <v>363</v>
      </c>
      <c r="S11" s="20"/>
      <c r="T11" s="14" t="s">
        <v>115</v>
      </c>
      <c r="U11" s="265"/>
      <c r="V11" s="30"/>
      <c r="W11" s="31"/>
      <c r="X11" s="260" t="s">
        <v>7</v>
      </c>
      <c r="Y11" s="136"/>
    </row>
    <row r="12" spans="1:30" ht="35" thickBot="1">
      <c r="A12" s="56">
        <v>1</v>
      </c>
      <c r="B12" s="56">
        <v>1</v>
      </c>
      <c r="F12" s="56" t="s">
        <v>465</v>
      </c>
      <c r="G12" s="242" t="s">
        <v>538</v>
      </c>
      <c r="H12" s="192" t="s">
        <v>76</v>
      </c>
      <c r="I12" s="193" t="s">
        <v>393</v>
      </c>
      <c r="J12" s="193"/>
      <c r="K12" s="168" t="s">
        <v>380</v>
      </c>
      <c r="L12" s="193">
        <v>0</v>
      </c>
      <c r="M12" s="194"/>
      <c r="N12" s="168" t="s">
        <v>360</v>
      </c>
      <c r="O12" s="168" t="s">
        <v>395</v>
      </c>
      <c r="P12" s="195" t="s">
        <v>357</v>
      </c>
      <c r="Q12" s="168"/>
      <c r="R12" s="291" t="s">
        <v>363</v>
      </c>
      <c r="S12" s="168"/>
      <c r="T12" s="168" t="s">
        <v>115</v>
      </c>
      <c r="U12" s="266"/>
      <c r="V12" s="194"/>
      <c r="W12" s="196"/>
      <c r="X12" s="264" t="s">
        <v>7</v>
      </c>
      <c r="Y12" s="197"/>
    </row>
    <row r="13" spans="1:30">
      <c r="A13" s="298" t="s">
        <v>98</v>
      </c>
      <c r="B13" s="298"/>
      <c r="C13" s="298"/>
      <c r="D13" s="298"/>
      <c r="E13" s="298"/>
      <c r="F13" s="298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  <c r="AA13" s="298"/>
      <c r="AB13" s="298"/>
      <c r="AC13" s="298"/>
      <c r="AD13" s="298"/>
    </row>
    <row r="14" spans="1:30">
      <c r="A14" s="298" t="s">
        <v>99</v>
      </c>
      <c r="B14" s="298"/>
      <c r="C14" s="298"/>
      <c r="D14" s="298"/>
      <c r="E14" s="298"/>
      <c r="F14" s="298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  <c r="AD14" s="298"/>
    </row>
    <row r="15" spans="1:30">
      <c r="H15" s="11"/>
      <c r="I15" s="11"/>
      <c r="J15" s="11"/>
      <c r="K15" s="11"/>
      <c r="L15" s="11"/>
      <c r="M15" s="11"/>
      <c r="X15"/>
      <c r="Y15"/>
    </row>
    <row r="21" spans="1:7">
      <c r="A21" s="202" t="s">
        <v>479</v>
      </c>
    </row>
    <row r="22" spans="1:7">
      <c r="G22" s="56" t="s">
        <v>565</v>
      </c>
    </row>
  </sheetData>
  <mergeCells count="2">
    <mergeCell ref="A13:AD13"/>
    <mergeCell ref="A14:AD14"/>
  </mergeCells>
  <pageMargins left="0.75" right="0.75" top="1" bottom="1" header="0.5" footer="0.5"/>
  <pageSetup paperSize="9" scale="22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9"/>
  <sheetViews>
    <sheetView topLeftCell="A24" zoomScale="150" zoomScaleNormal="150" zoomScalePageLayoutView="150" workbookViewId="0">
      <selection activeCell="A3" sqref="A3"/>
    </sheetView>
  </sheetViews>
  <sheetFormatPr baseColWidth="10" defaultColWidth="11.5" defaultRowHeight="16"/>
  <cols>
    <col min="1" max="1" width="22.83203125" customWidth="1"/>
    <col min="2" max="2" width="29.6640625" customWidth="1"/>
    <col min="3" max="3" width="25.6640625" customWidth="1"/>
    <col min="4" max="4" width="32.33203125" customWidth="1"/>
    <col min="5" max="5" width="38.33203125" customWidth="1"/>
    <col min="6" max="6" width="65.1640625" customWidth="1"/>
    <col min="7" max="7" width="14.33203125" customWidth="1"/>
  </cols>
  <sheetData>
    <row r="1" spans="1:18">
      <c r="B1" s="54"/>
      <c r="C1" s="55"/>
      <c r="D1" s="56"/>
      <c r="E1" s="57"/>
    </row>
    <row r="2" spans="1:18" s="60" customFormat="1" ht="40" customHeight="1" thickBot="1">
      <c r="A2" t="s">
        <v>415</v>
      </c>
      <c r="B2" s="299" t="s">
        <v>149</v>
      </c>
      <c r="C2" s="299"/>
      <c r="D2" s="299"/>
      <c r="E2" s="299"/>
      <c r="F2" s="58" t="str">
        <f>[1]all!R5</f>
        <v>10 Feb 2014 Version 3.1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</row>
    <row r="3" spans="1:18" s="60" customFormat="1" ht="35" thickBot="1">
      <c r="B3" s="61" t="s">
        <v>150</v>
      </c>
      <c r="C3" s="61" t="s">
        <v>151</v>
      </c>
      <c r="D3" s="62" t="s">
        <v>152</v>
      </c>
      <c r="E3" s="63" t="s">
        <v>153</v>
      </c>
      <c r="F3" s="64" t="s">
        <v>154</v>
      </c>
      <c r="G3" s="65"/>
      <c r="Q3" s="66"/>
      <c r="R3" s="67"/>
    </row>
    <row r="4" spans="1:18" s="60" customFormat="1" ht="17">
      <c r="B4" s="68" t="s">
        <v>155</v>
      </c>
      <c r="C4" s="68" t="s">
        <v>155</v>
      </c>
      <c r="D4" s="69" t="s">
        <v>156</v>
      </c>
      <c r="E4" s="70" t="s">
        <v>157</v>
      </c>
      <c r="F4" s="71"/>
      <c r="G4" s="65"/>
    </row>
    <row r="5" spans="1:18" s="60" customFormat="1" ht="17">
      <c r="B5" s="68" t="s">
        <v>158</v>
      </c>
      <c r="C5" s="68" t="s">
        <v>158</v>
      </c>
      <c r="D5" s="69" t="s">
        <v>159</v>
      </c>
      <c r="E5" s="70" t="s">
        <v>160</v>
      </c>
      <c r="F5" s="72"/>
      <c r="G5" s="65"/>
    </row>
    <row r="6" spans="1:18" s="60" customFormat="1" ht="17">
      <c r="B6" s="68" t="s">
        <v>161</v>
      </c>
      <c r="C6" s="68" t="s">
        <v>161</v>
      </c>
      <c r="D6" s="69" t="s">
        <v>156</v>
      </c>
      <c r="E6" s="70" t="s">
        <v>157</v>
      </c>
      <c r="F6" s="72" t="s">
        <v>162</v>
      </c>
      <c r="G6" s="65"/>
    </row>
    <row r="7" spans="1:18" s="60" customFormat="1" ht="17">
      <c r="B7" s="68" t="s">
        <v>163</v>
      </c>
      <c r="C7" s="68" t="s">
        <v>163</v>
      </c>
      <c r="D7" s="69" t="s">
        <v>156</v>
      </c>
      <c r="E7" s="70" t="s">
        <v>157</v>
      </c>
      <c r="F7" s="72" t="s">
        <v>164</v>
      </c>
      <c r="G7" s="65"/>
    </row>
    <row r="8" spans="1:18" s="60" customFormat="1" ht="17">
      <c r="B8" s="68" t="s">
        <v>165</v>
      </c>
      <c r="C8" s="68" t="s">
        <v>165</v>
      </c>
      <c r="D8" s="69" t="s">
        <v>159</v>
      </c>
      <c r="E8" s="70" t="s">
        <v>166</v>
      </c>
      <c r="F8" s="72" t="s">
        <v>167</v>
      </c>
      <c r="G8" s="65"/>
    </row>
    <row r="9" spans="1:18" s="60" customFormat="1" ht="17">
      <c r="B9" s="68" t="s">
        <v>168</v>
      </c>
      <c r="C9" s="68" t="s">
        <v>168</v>
      </c>
      <c r="D9" s="69" t="s">
        <v>156</v>
      </c>
      <c r="E9" s="70" t="s">
        <v>160</v>
      </c>
      <c r="F9" s="72"/>
      <c r="G9" s="65"/>
    </row>
    <row r="10" spans="1:18" s="60" customFormat="1" ht="17">
      <c r="B10" s="68" t="s">
        <v>169</v>
      </c>
      <c r="C10" s="68" t="s">
        <v>169</v>
      </c>
      <c r="D10" s="69" t="s">
        <v>156</v>
      </c>
      <c r="E10" s="70" t="s">
        <v>157</v>
      </c>
      <c r="F10" s="72" t="s">
        <v>170</v>
      </c>
      <c r="G10" s="65"/>
    </row>
    <row r="11" spans="1:18" s="60" customFormat="1" ht="17">
      <c r="B11" s="68" t="s">
        <v>171</v>
      </c>
      <c r="C11" s="68" t="s">
        <v>171</v>
      </c>
      <c r="D11" s="73" t="s">
        <v>172</v>
      </c>
      <c r="E11" s="70" t="s">
        <v>157</v>
      </c>
      <c r="F11" s="74" t="s">
        <v>173</v>
      </c>
      <c r="G11" s="65"/>
    </row>
    <row r="12" spans="1:18" s="60" customFormat="1" ht="34">
      <c r="B12" s="68" t="s">
        <v>174</v>
      </c>
      <c r="C12" s="68" t="s">
        <v>174</v>
      </c>
      <c r="D12" s="69" t="s">
        <v>156</v>
      </c>
      <c r="E12" s="70" t="s">
        <v>175</v>
      </c>
      <c r="F12" s="72" t="s">
        <v>176</v>
      </c>
      <c r="G12" s="65"/>
    </row>
    <row r="13" spans="1:18" s="60" customFormat="1" ht="34">
      <c r="B13" s="68" t="s">
        <v>177</v>
      </c>
      <c r="C13" s="68" t="s">
        <v>177</v>
      </c>
      <c r="D13" s="69" t="s">
        <v>156</v>
      </c>
      <c r="E13" s="70" t="s">
        <v>157</v>
      </c>
      <c r="F13" s="72" t="s">
        <v>178</v>
      </c>
      <c r="G13" s="65"/>
    </row>
    <row r="14" spans="1:18" s="60" customFormat="1" ht="34">
      <c r="B14" s="68" t="s">
        <v>179</v>
      </c>
      <c r="C14" s="68"/>
      <c r="D14" s="69" t="s">
        <v>180</v>
      </c>
      <c r="E14" s="70" t="s">
        <v>181</v>
      </c>
      <c r="F14" s="72" t="s">
        <v>182</v>
      </c>
      <c r="G14" s="65"/>
      <c r="I14" s="75"/>
    </row>
    <row r="15" spans="1:18" s="60" customFormat="1" ht="34">
      <c r="B15" s="68" t="s">
        <v>183</v>
      </c>
      <c r="C15" s="68"/>
      <c r="D15" s="69" t="s">
        <v>180</v>
      </c>
      <c r="E15" s="70" t="s">
        <v>184</v>
      </c>
      <c r="F15" s="72"/>
      <c r="G15" s="65"/>
    </row>
    <row r="16" spans="1:18" s="60" customFormat="1" ht="51">
      <c r="B16" s="68" t="s">
        <v>185</v>
      </c>
      <c r="C16" s="68"/>
      <c r="D16" s="69" t="s">
        <v>180</v>
      </c>
      <c r="E16" s="70" t="s">
        <v>186</v>
      </c>
      <c r="F16" s="72"/>
      <c r="G16" s="65"/>
    </row>
    <row r="17" spans="2:7" s="60" customFormat="1" ht="51">
      <c r="B17" s="68" t="s">
        <v>187</v>
      </c>
      <c r="C17" s="68"/>
      <c r="D17" s="69" t="s">
        <v>159</v>
      </c>
      <c r="E17" s="70" t="s">
        <v>188</v>
      </c>
      <c r="F17" s="72" t="s">
        <v>189</v>
      </c>
      <c r="G17" s="65"/>
    </row>
    <row r="18" spans="2:7" s="60" customFormat="1" ht="35" thickBot="1">
      <c r="B18" s="68" t="s">
        <v>190</v>
      </c>
      <c r="C18" s="68"/>
      <c r="D18" s="69" t="s">
        <v>180</v>
      </c>
      <c r="E18" s="76" t="s">
        <v>191</v>
      </c>
      <c r="F18" s="72" t="s">
        <v>192</v>
      </c>
      <c r="G18" s="65"/>
    </row>
    <row r="19" spans="2:7" s="60" customFormat="1" ht="17">
      <c r="B19" s="77" t="s">
        <v>193</v>
      </c>
      <c r="C19" s="77" t="s">
        <v>193</v>
      </c>
      <c r="D19" s="77" t="s">
        <v>156</v>
      </c>
      <c r="E19" s="77" t="s">
        <v>194</v>
      </c>
      <c r="F19" s="77" t="s">
        <v>195</v>
      </c>
    </row>
    <row r="20" spans="2:7" s="60" customFormat="1" ht="34">
      <c r="B20" s="78" t="s">
        <v>196</v>
      </c>
      <c r="C20" s="78"/>
      <c r="D20" s="78" t="s">
        <v>180</v>
      </c>
      <c r="E20" s="78" t="s">
        <v>197</v>
      </c>
      <c r="F20" s="78" t="s">
        <v>198</v>
      </c>
    </row>
    <row r="21" spans="2:7" s="60" customFormat="1" ht="51">
      <c r="B21" s="78" t="s">
        <v>199</v>
      </c>
      <c r="C21" s="78" t="s">
        <v>199</v>
      </c>
      <c r="D21" s="78" t="s">
        <v>200</v>
      </c>
      <c r="E21" s="78" t="s">
        <v>160</v>
      </c>
      <c r="F21" s="78" t="s">
        <v>201</v>
      </c>
    </row>
    <row r="22" spans="2:7" s="60" customFormat="1" ht="34">
      <c r="B22" s="78" t="s">
        <v>202</v>
      </c>
      <c r="C22" s="78" t="s">
        <v>203</v>
      </c>
      <c r="D22" s="79" t="s">
        <v>172</v>
      </c>
      <c r="E22" s="78" t="s">
        <v>204</v>
      </c>
      <c r="F22" s="78" t="s">
        <v>205</v>
      </c>
    </row>
    <row r="23" spans="2:7" s="60" customFormat="1" ht="17">
      <c r="B23" s="78" t="s">
        <v>154</v>
      </c>
      <c r="C23" s="78" t="s">
        <v>203</v>
      </c>
      <c r="D23" s="78" t="s">
        <v>200</v>
      </c>
      <c r="E23" s="78" t="s">
        <v>160</v>
      </c>
      <c r="F23" s="78" t="s">
        <v>206</v>
      </c>
    </row>
    <row r="24" spans="2:7" s="60" customFormat="1" ht="34">
      <c r="B24" s="78"/>
      <c r="C24" s="78" t="s">
        <v>207</v>
      </c>
      <c r="D24" s="78" t="s">
        <v>208</v>
      </c>
      <c r="E24" s="78" t="s">
        <v>209</v>
      </c>
      <c r="F24" s="78" t="s">
        <v>210</v>
      </c>
    </row>
    <row r="25" spans="2:7" s="60" customFormat="1" ht="34">
      <c r="B25" s="78"/>
      <c r="C25" s="78" t="s">
        <v>211</v>
      </c>
      <c r="D25" s="78" t="s">
        <v>208</v>
      </c>
      <c r="E25" s="78" t="s">
        <v>209</v>
      </c>
      <c r="F25" s="78" t="s">
        <v>212</v>
      </c>
    </row>
    <row r="26" spans="2:7" s="60" customFormat="1" ht="17">
      <c r="B26" s="78"/>
      <c r="C26" s="78" t="s">
        <v>213</v>
      </c>
      <c r="D26" s="78" t="s">
        <v>208</v>
      </c>
      <c r="E26" s="78" t="s">
        <v>214</v>
      </c>
      <c r="F26" s="78" t="s">
        <v>215</v>
      </c>
    </row>
    <row r="27" spans="2:7" s="60" customFormat="1" ht="17">
      <c r="B27" s="78"/>
      <c r="C27" s="78" t="s">
        <v>216</v>
      </c>
      <c r="D27" s="78" t="s">
        <v>208</v>
      </c>
      <c r="E27" s="78" t="s">
        <v>217</v>
      </c>
      <c r="F27" s="78" t="s">
        <v>218</v>
      </c>
    </row>
    <row r="28" spans="2:7" s="60" customFormat="1" ht="17">
      <c r="B28" s="78"/>
      <c r="C28" s="78" t="s">
        <v>219</v>
      </c>
      <c r="D28" s="78" t="s">
        <v>208</v>
      </c>
      <c r="E28" s="78" t="s">
        <v>217</v>
      </c>
      <c r="F28" s="78" t="s">
        <v>218</v>
      </c>
    </row>
    <row r="29" spans="2:7" s="60" customFormat="1" ht="17">
      <c r="B29" s="78"/>
      <c r="C29" s="78" t="s">
        <v>220</v>
      </c>
      <c r="D29" s="78" t="s">
        <v>208</v>
      </c>
      <c r="E29" s="78" t="s">
        <v>209</v>
      </c>
      <c r="F29" s="78" t="s">
        <v>221</v>
      </c>
    </row>
    <row r="30" spans="2:7" s="60" customFormat="1" ht="35" thickBot="1">
      <c r="B30" s="80"/>
      <c r="C30" s="80" t="s">
        <v>222</v>
      </c>
      <c r="D30" s="80" t="s">
        <v>208</v>
      </c>
      <c r="E30" s="80" t="s">
        <v>209</v>
      </c>
      <c r="F30" s="80" t="s">
        <v>223</v>
      </c>
    </row>
    <row r="31" spans="2:7" s="60" customFormat="1" ht="36.25" customHeight="1" thickBot="1">
      <c r="B31" s="299" t="s">
        <v>224</v>
      </c>
      <c r="C31" s="299"/>
      <c r="D31" s="299"/>
      <c r="E31" s="299"/>
      <c r="F31" s="299"/>
    </row>
    <row r="32" spans="2:7" s="60" customFormat="1" ht="35" thickBot="1">
      <c r="B32" s="81" t="s">
        <v>225</v>
      </c>
      <c r="C32" s="81" t="s">
        <v>226</v>
      </c>
      <c r="D32" s="81" t="s">
        <v>152</v>
      </c>
      <c r="E32" s="81" t="s">
        <v>227</v>
      </c>
      <c r="F32" s="81" t="s">
        <v>154</v>
      </c>
    </row>
    <row r="33" spans="2:6" s="60" customFormat="1" ht="34">
      <c r="B33" s="77" t="s">
        <v>228</v>
      </c>
      <c r="C33" s="77" t="s">
        <v>229</v>
      </c>
      <c r="D33" s="77" t="s">
        <v>156</v>
      </c>
      <c r="E33" s="77" t="s">
        <v>230</v>
      </c>
      <c r="F33" s="77" t="s">
        <v>231</v>
      </c>
    </row>
    <row r="34" spans="2:6" s="60" customFormat="1" ht="17">
      <c r="B34" s="78" t="s">
        <v>232</v>
      </c>
      <c r="C34" s="78" t="s">
        <v>232</v>
      </c>
      <c r="D34" s="78" t="s">
        <v>156</v>
      </c>
      <c r="E34" s="78" t="s">
        <v>233</v>
      </c>
      <c r="F34" s="78" t="s">
        <v>234</v>
      </c>
    </row>
    <row r="35" spans="2:6" s="60" customFormat="1" ht="35" thickBot="1">
      <c r="B35" s="80" t="s">
        <v>235</v>
      </c>
      <c r="C35" s="80"/>
      <c r="D35" s="80" t="s">
        <v>236</v>
      </c>
      <c r="E35" s="80" t="s">
        <v>233</v>
      </c>
      <c r="F35" s="80"/>
    </row>
    <row r="36" spans="2:6" s="60" customFormat="1" ht="19" thickBot="1">
      <c r="B36" s="300" t="s">
        <v>237</v>
      </c>
      <c r="C36" s="300"/>
      <c r="D36" s="300"/>
      <c r="E36" s="300"/>
      <c r="F36" s="300"/>
    </row>
    <row r="37" spans="2:6" s="60" customFormat="1" ht="18" thickBot="1">
      <c r="B37" s="81" t="s">
        <v>238</v>
      </c>
      <c r="C37" s="81" t="s">
        <v>239</v>
      </c>
      <c r="D37" s="81" t="s">
        <v>240</v>
      </c>
    </row>
    <row r="38" spans="2:6" s="60" customFormat="1">
      <c r="B38" s="82" t="s">
        <v>241</v>
      </c>
      <c r="C38" s="83"/>
      <c r="D38" s="82" t="s">
        <v>242</v>
      </c>
    </row>
    <row r="39" spans="2:6" s="60" customFormat="1" ht="17">
      <c r="B39" s="84" t="s">
        <v>243</v>
      </c>
      <c r="C39" s="77" t="s">
        <v>244</v>
      </c>
      <c r="D39" s="77" t="s">
        <v>245</v>
      </c>
    </row>
    <row r="40" spans="2:6" s="60" customFormat="1" ht="17">
      <c r="B40" s="85" t="s">
        <v>246</v>
      </c>
      <c r="C40" s="78" t="s">
        <v>244</v>
      </c>
      <c r="D40" s="85" t="s">
        <v>196</v>
      </c>
    </row>
    <row r="41" spans="2:6" s="60" customFormat="1" ht="17">
      <c r="B41" s="86" t="s">
        <v>247</v>
      </c>
      <c r="C41" s="78" t="s">
        <v>244</v>
      </c>
      <c r="D41" s="85" t="s">
        <v>179</v>
      </c>
    </row>
    <row r="42" spans="2:6" s="60" customFormat="1" ht="17">
      <c r="B42" s="86" t="s">
        <v>248</v>
      </c>
      <c r="C42" s="78" t="s">
        <v>244</v>
      </c>
      <c r="D42" s="85" t="s">
        <v>185</v>
      </c>
    </row>
    <row r="43" spans="2:6" s="60" customFormat="1" ht="17">
      <c r="B43" s="85" t="s">
        <v>249</v>
      </c>
      <c r="C43" s="78" t="s">
        <v>244</v>
      </c>
      <c r="D43" s="85" t="s">
        <v>183</v>
      </c>
    </row>
    <row r="44" spans="2:6" s="60" customFormat="1" ht="17">
      <c r="B44" s="85" t="s">
        <v>250</v>
      </c>
      <c r="C44" s="78" t="s">
        <v>244</v>
      </c>
      <c r="D44" s="85" t="s">
        <v>161</v>
      </c>
    </row>
    <row r="45" spans="2:6" s="60" customFormat="1" ht="17">
      <c r="B45" s="85" t="s">
        <v>251</v>
      </c>
      <c r="C45" s="78" t="s">
        <v>244</v>
      </c>
      <c r="D45" s="85" t="s">
        <v>252</v>
      </c>
    </row>
    <row r="46" spans="2:6" s="60" customFormat="1" ht="17">
      <c r="B46" s="85" t="s">
        <v>253</v>
      </c>
      <c r="C46" s="78" t="s">
        <v>244</v>
      </c>
      <c r="D46" s="85" t="s">
        <v>177</v>
      </c>
      <c r="E46" s="65"/>
    </row>
    <row r="47" spans="2:6" s="60" customFormat="1" ht="35" thickBot="1">
      <c r="B47" s="87" t="s">
        <v>254</v>
      </c>
      <c r="C47" s="80" t="s">
        <v>255</v>
      </c>
      <c r="D47" s="80" t="s">
        <v>256</v>
      </c>
      <c r="E47" s="88"/>
    </row>
    <row r="48" spans="2:6" s="60" customFormat="1">
      <c r="B48" s="301" t="s">
        <v>374</v>
      </c>
      <c r="C48" s="301"/>
      <c r="D48" s="301"/>
      <c r="E48" s="301"/>
    </row>
    <row r="49" spans="2:6" s="60" customFormat="1">
      <c r="B49" s="302" t="s">
        <v>257</v>
      </c>
      <c r="C49" s="302"/>
      <c r="D49" s="302"/>
      <c r="E49" s="302"/>
      <c r="F49" s="302"/>
    </row>
  </sheetData>
  <mergeCells count="5">
    <mergeCell ref="B2:E2"/>
    <mergeCell ref="B31:F31"/>
    <mergeCell ref="B36:F36"/>
    <mergeCell ref="B48:E48"/>
    <mergeCell ref="B49:F49"/>
  </mergeCells>
  <pageMargins left="0.75" right="0.75" top="1" bottom="1" header="0.5" footer="0.5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"/>
  <sheetViews>
    <sheetView workbookViewId="0">
      <selection activeCell="A21" sqref="A21"/>
    </sheetView>
  </sheetViews>
  <sheetFormatPr baseColWidth="10" defaultColWidth="11.5" defaultRowHeight="16"/>
  <cols>
    <col min="1" max="1" width="30" customWidth="1"/>
    <col min="2" max="2" width="21.33203125" customWidth="1"/>
    <col min="3" max="3" width="23.33203125" customWidth="1"/>
    <col min="4" max="4" width="8.33203125" customWidth="1"/>
    <col min="5" max="5" width="9.33203125" customWidth="1"/>
    <col min="6" max="6" width="14.33203125" customWidth="1"/>
  </cols>
  <sheetData>
    <row r="1" spans="1:17" ht="17" thickBot="1">
      <c r="B1" s="55"/>
    </row>
    <row r="2" spans="1:17" ht="39" thickBot="1">
      <c r="A2" s="89" t="s">
        <v>240</v>
      </c>
      <c r="B2" s="90" t="s">
        <v>258</v>
      </c>
      <c r="C2" s="91" t="s">
        <v>154</v>
      </c>
      <c r="D2" s="92" t="s">
        <v>259</v>
      </c>
      <c r="E2" s="304" t="str">
        <f>[1]all!R5</f>
        <v>10 Feb 2014 Version 3.1</v>
      </c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</row>
    <row r="3" spans="1:17" s="100" customFormat="1">
      <c r="A3" s="93" t="s">
        <v>260</v>
      </c>
      <c r="B3" s="93" t="s">
        <v>243</v>
      </c>
      <c r="C3" s="94"/>
      <c r="D3" s="95" t="s">
        <v>261</v>
      </c>
      <c r="E3" s="305" t="s">
        <v>262</v>
      </c>
      <c r="F3" s="305"/>
      <c r="G3" s="96"/>
      <c r="H3" s="96"/>
      <c r="I3" s="96"/>
      <c r="J3" s="96"/>
      <c r="K3" s="96"/>
      <c r="L3" s="96"/>
      <c r="M3" s="96"/>
      <c r="N3" s="97"/>
      <c r="O3" s="96"/>
      <c r="P3" s="98"/>
      <c r="Q3" s="99"/>
    </row>
    <row r="4" spans="1:17" s="100" customFormat="1" ht="17">
      <c r="A4" s="101" t="s">
        <v>155</v>
      </c>
      <c r="B4" s="102" t="s">
        <v>241</v>
      </c>
      <c r="C4" s="103"/>
      <c r="D4" s="104" t="s">
        <v>261</v>
      </c>
      <c r="E4" s="303" t="s">
        <v>263</v>
      </c>
      <c r="F4" s="303"/>
      <c r="G4" s="303"/>
      <c r="H4" s="303"/>
      <c r="I4" s="303"/>
      <c r="J4" s="105"/>
      <c r="K4" s="105"/>
      <c r="L4" s="105"/>
      <c r="M4" s="105"/>
      <c r="N4" s="105"/>
      <c r="O4" s="105"/>
      <c r="P4" s="105"/>
      <c r="Q4" s="106"/>
    </row>
    <row r="5" spans="1:17" s="100" customFormat="1" ht="17">
      <c r="A5" s="101" t="s">
        <v>161</v>
      </c>
      <c r="B5" s="101" t="s">
        <v>250</v>
      </c>
      <c r="C5" s="107"/>
      <c r="D5" s="108" t="s">
        <v>261</v>
      </c>
      <c r="E5" s="306" t="s">
        <v>263</v>
      </c>
      <c r="F5" s="306"/>
      <c r="G5" s="306"/>
      <c r="H5" s="306"/>
      <c r="I5" s="306"/>
      <c r="J5" s="109"/>
      <c r="K5" s="109"/>
      <c r="L5" s="109"/>
      <c r="M5" s="109"/>
      <c r="N5" s="109"/>
      <c r="O5" s="109"/>
      <c r="P5" s="109"/>
      <c r="Q5" s="110"/>
    </row>
    <row r="6" spans="1:17" s="100" customFormat="1" ht="34">
      <c r="A6" s="101" t="s">
        <v>163</v>
      </c>
      <c r="B6" s="101" t="s">
        <v>264</v>
      </c>
      <c r="C6" s="107" t="s">
        <v>265</v>
      </c>
      <c r="D6" s="104" t="s">
        <v>266</v>
      </c>
      <c r="E6" s="111" t="s">
        <v>267</v>
      </c>
      <c r="F6" s="102" t="s">
        <v>268</v>
      </c>
      <c r="G6" s="102" t="s">
        <v>269</v>
      </c>
      <c r="H6" s="102" t="s">
        <v>270</v>
      </c>
      <c r="I6" s="102" t="s">
        <v>271</v>
      </c>
      <c r="J6" s="102" t="s">
        <v>272</v>
      </c>
      <c r="K6" s="102" t="s">
        <v>273</v>
      </c>
      <c r="L6" s="307"/>
      <c r="M6" s="307"/>
      <c r="N6" s="307"/>
      <c r="O6" s="307"/>
      <c r="P6" s="307"/>
      <c r="Q6" s="307"/>
    </row>
    <row r="7" spans="1:17" s="100" customFormat="1" ht="17">
      <c r="A7" s="101" t="s">
        <v>169</v>
      </c>
      <c r="B7" s="102"/>
      <c r="C7" s="103"/>
      <c r="D7" s="104">
        <v>1</v>
      </c>
      <c r="E7" s="112" t="s">
        <v>274</v>
      </c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112"/>
    </row>
    <row r="8" spans="1:17" s="100" customFormat="1" ht="17">
      <c r="A8" s="101" t="s">
        <v>171</v>
      </c>
      <c r="B8" s="102"/>
      <c r="C8" s="103"/>
      <c r="D8" s="104">
        <v>3</v>
      </c>
      <c r="E8" s="106" t="s">
        <v>275</v>
      </c>
      <c r="F8" s="102" t="s">
        <v>276</v>
      </c>
      <c r="G8" s="102" t="s">
        <v>277</v>
      </c>
      <c r="H8" s="105"/>
      <c r="I8" s="105"/>
      <c r="J8" s="105"/>
      <c r="K8" s="105"/>
      <c r="L8" s="105"/>
      <c r="M8" s="105"/>
      <c r="N8" s="105"/>
      <c r="O8" s="105"/>
      <c r="P8" s="105"/>
      <c r="Q8" s="106"/>
    </row>
    <row r="9" spans="1:17" s="100" customFormat="1" ht="17">
      <c r="A9" s="101" t="s">
        <v>177</v>
      </c>
      <c r="B9" s="101" t="s">
        <v>253</v>
      </c>
      <c r="C9" s="107"/>
      <c r="D9" s="108">
        <v>6</v>
      </c>
      <c r="E9" s="106" t="s">
        <v>278</v>
      </c>
      <c r="F9" s="102" t="s">
        <v>279</v>
      </c>
      <c r="G9" s="102" t="s">
        <v>280</v>
      </c>
      <c r="H9" s="102" t="s">
        <v>281</v>
      </c>
      <c r="I9" s="102" t="s">
        <v>282</v>
      </c>
      <c r="J9" s="102" t="s">
        <v>283</v>
      </c>
      <c r="K9" s="103"/>
      <c r="L9" s="105"/>
      <c r="M9" s="105"/>
      <c r="N9" s="105"/>
      <c r="O9" s="105"/>
      <c r="P9" s="105"/>
      <c r="Q9" s="106"/>
    </row>
    <row r="10" spans="1:17" s="100" customFormat="1" ht="17">
      <c r="A10" s="101" t="s">
        <v>179</v>
      </c>
      <c r="B10" s="101" t="s">
        <v>247</v>
      </c>
      <c r="C10" s="107"/>
      <c r="D10" s="108" t="s">
        <v>284</v>
      </c>
      <c r="E10" s="303" t="s">
        <v>285</v>
      </c>
      <c r="F10" s="303"/>
      <c r="G10" s="303"/>
      <c r="H10" s="303"/>
      <c r="I10" s="303"/>
      <c r="J10" s="303"/>
      <c r="K10" s="303"/>
      <c r="L10" s="303"/>
      <c r="M10" s="303"/>
      <c r="N10" s="303"/>
      <c r="O10" s="105"/>
      <c r="P10" s="105"/>
      <c r="Q10" s="106"/>
    </row>
    <row r="11" spans="1:17" s="100" customFormat="1" ht="34">
      <c r="A11" s="101" t="s">
        <v>183</v>
      </c>
      <c r="B11" s="101" t="s">
        <v>249</v>
      </c>
      <c r="C11" s="107"/>
      <c r="D11" s="108" t="s">
        <v>284</v>
      </c>
      <c r="E11" s="303" t="s">
        <v>286</v>
      </c>
      <c r="F11" s="303"/>
      <c r="G11" s="303"/>
      <c r="H11" s="303"/>
      <c r="I11" s="303"/>
      <c r="J11" s="105"/>
      <c r="K11" s="105"/>
      <c r="L11" s="105"/>
      <c r="M11" s="105"/>
      <c r="N11" s="105"/>
      <c r="O11" s="105"/>
      <c r="P11" s="105"/>
      <c r="Q11" s="106"/>
    </row>
    <row r="12" spans="1:17" s="100" customFormat="1" ht="34">
      <c r="A12" s="101" t="s">
        <v>185</v>
      </c>
      <c r="B12" s="101"/>
      <c r="C12" s="107" t="s">
        <v>287</v>
      </c>
      <c r="D12" s="108" t="s">
        <v>288</v>
      </c>
      <c r="E12" s="106" t="s">
        <v>289</v>
      </c>
      <c r="F12" s="102" t="s">
        <v>290</v>
      </c>
      <c r="G12" s="308" t="s">
        <v>291</v>
      </c>
      <c r="H12" s="308"/>
      <c r="I12" s="308"/>
      <c r="J12" s="308"/>
      <c r="K12" s="308"/>
      <c r="L12" s="308"/>
      <c r="M12" s="308"/>
      <c r="N12" s="308"/>
      <c r="O12" s="105"/>
      <c r="P12" s="105"/>
      <c r="Q12" s="106"/>
    </row>
    <row r="13" spans="1:17" s="100" customFormat="1" ht="17">
      <c r="A13" s="101" t="s">
        <v>190</v>
      </c>
      <c r="B13" s="101" t="s">
        <v>251</v>
      </c>
      <c r="C13" s="107"/>
      <c r="D13" s="108" t="s">
        <v>284</v>
      </c>
      <c r="E13" s="303" t="s">
        <v>292</v>
      </c>
      <c r="F13" s="303"/>
      <c r="G13" s="303"/>
      <c r="H13" s="303"/>
      <c r="I13" s="303"/>
      <c r="J13" s="303"/>
      <c r="K13" s="105"/>
      <c r="L13" s="105"/>
      <c r="M13" s="105"/>
      <c r="N13" s="105"/>
      <c r="O13" s="105"/>
      <c r="P13" s="105"/>
      <c r="Q13" s="106"/>
    </row>
    <row r="14" spans="1:17" s="100" customFormat="1" ht="17">
      <c r="A14" s="101" t="s">
        <v>193</v>
      </c>
      <c r="B14" s="101" t="s">
        <v>293</v>
      </c>
      <c r="C14" s="107"/>
      <c r="D14" s="108" t="s">
        <v>294</v>
      </c>
      <c r="E14" s="106" t="s">
        <v>295</v>
      </c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6"/>
    </row>
    <row r="15" spans="1:17" s="100" customFormat="1" ht="17">
      <c r="A15" s="101" t="s">
        <v>296</v>
      </c>
      <c r="B15" s="101"/>
      <c r="C15" s="107"/>
      <c r="D15" s="108" t="s">
        <v>297</v>
      </c>
      <c r="E15" s="113" t="s">
        <v>298</v>
      </c>
      <c r="F15" s="102" t="s">
        <v>299</v>
      </c>
      <c r="G15" s="102" t="s">
        <v>300</v>
      </c>
      <c r="H15" s="102" t="s">
        <v>301</v>
      </c>
      <c r="I15" s="102" t="s">
        <v>302</v>
      </c>
      <c r="J15" s="102" t="s">
        <v>303</v>
      </c>
      <c r="K15" s="102" t="s">
        <v>304</v>
      </c>
      <c r="L15" s="102" t="s">
        <v>305</v>
      </c>
      <c r="M15" s="102" t="s">
        <v>306</v>
      </c>
      <c r="N15" s="102" t="s">
        <v>307</v>
      </c>
      <c r="O15" s="102" t="s">
        <v>308</v>
      </c>
      <c r="P15" s="102" t="s">
        <v>309</v>
      </c>
      <c r="Q15" s="102" t="s">
        <v>310</v>
      </c>
    </row>
    <row r="16" spans="1:17" s="100" customFormat="1" ht="17">
      <c r="A16" s="101" t="s">
        <v>311</v>
      </c>
      <c r="B16" s="101"/>
      <c r="C16" s="107"/>
      <c r="D16" s="108" t="s">
        <v>312</v>
      </c>
      <c r="E16" s="114">
        <v>44</v>
      </c>
      <c r="F16" s="115">
        <v>22</v>
      </c>
      <c r="G16" s="115">
        <v>11</v>
      </c>
      <c r="H16" s="115" t="s">
        <v>313</v>
      </c>
      <c r="I16" s="116" t="s">
        <v>314</v>
      </c>
      <c r="J16" s="117"/>
      <c r="K16" s="117"/>
      <c r="L16" s="117"/>
      <c r="M16" s="117"/>
      <c r="N16" s="117"/>
      <c r="O16" s="105"/>
      <c r="P16" s="105"/>
      <c r="Q16" s="106"/>
    </row>
    <row r="17" spans="1:17" s="100" customFormat="1" ht="17">
      <c r="A17" s="101" t="s">
        <v>196</v>
      </c>
      <c r="B17" s="101" t="s">
        <v>246</v>
      </c>
      <c r="C17" s="107"/>
      <c r="D17" s="108" t="s">
        <v>284</v>
      </c>
      <c r="E17" s="303" t="s">
        <v>315</v>
      </c>
      <c r="F17" s="303"/>
      <c r="G17" s="303"/>
      <c r="H17" s="303"/>
      <c r="I17" s="303"/>
      <c r="J17" s="303"/>
      <c r="K17" s="303"/>
      <c r="L17" s="303"/>
      <c r="M17" s="303"/>
      <c r="N17" s="105"/>
      <c r="O17" s="105"/>
      <c r="P17" s="105"/>
      <c r="Q17" s="106"/>
    </row>
    <row r="18" spans="1:17" s="100" customFormat="1" ht="18" thickBot="1">
      <c r="A18" s="101" t="s">
        <v>260</v>
      </c>
      <c r="B18" s="101" t="s">
        <v>254</v>
      </c>
      <c r="C18" s="107"/>
      <c r="D18" s="118" t="s">
        <v>284</v>
      </c>
      <c r="E18" s="309" t="s">
        <v>316</v>
      </c>
      <c r="F18" s="309"/>
      <c r="G18" s="309"/>
      <c r="H18" s="309"/>
      <c r="I18" s="117"/>
      <c r="J18" s="117"/>
      <c r="K18" s="117"/>
      <c r="L18" s="117"/>
      <c r="M18" s="117"/>
      <c r="N18" s="117"/>
      <c r="O18" s="105"/>
      <c r="P18" s="105"/>
      <c r="Q18" s="106"/>
    </row>
    <row r="20" spans="1:17" ht="17">
      <c r="A20" s="75" t="s">
        <v>339</v>
      </c>
    </row>
  </sheetData>
  <mergeCells count="11">
    <mergeCell ref="E11:I11"/>
    <mergeCell ref="G12:N12"/>
    <mergeCell ref="E13:J13"/>
    <mergeCell ref="E17:M17"/>
    <mergeCell ref="E18:H18"/>
    <mergeCell ref="E10:N10"/>
    <mergeCell ref="E2:Q2"/>
    <mergeCell ref="E3:F3"/>
    <mergeCell ref="E4:I4"/>
    <mergeCell ref="E5:I5"/>
    <mergeCell ref="L6:Q6"/>
  </mergeCells>
  <pageMargins left="0.75" right="0.75" top="1" bottom="1" header="0.5" footer="0.5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Core</vt:lpstr>
      <vt:lpstr>Tier-1</vt:lpstr>
      <vt:lpstr>Global  Attributes</vt:lpstr>
      <vt:lpstr>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Klaus Goergen</cp:lastModifiedBy>
  <cp:lastPrinted>2023-11-06T19:05:00Z</cp:lastPrinted>
  <dcterms:created xsi:type="dcterms:W3CDTF">2017-04-07T09:41:52Z</dcterms:created>
  <dcterms:modified xsi:type="dcterms:W3CDTF">2024-01-11T18:00:42Z</dcterms:modified>
</cp:coreProperties>
</file>